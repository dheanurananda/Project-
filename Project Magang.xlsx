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oran orbits" sheetId="1" r:id="rId4"/>
    <sheet state="visible" name="Laporan sanama februari" sheetId="2" r:id="rId5"/>
    <sheet state="visible" name="laporan sanama maret" sheetId="3" r:id="rId6"/>
    <sheet state="visible" name="laporan sanama april" sheetId="4" r:id="rId7"/>
    <sheet state="visible" name="laporan sanama mei" sheetId="5" r:id="rId8"/>
    <sheet state="visible" name="laporan sanama juni" sheetId="6" r:id="rId9"/>
  </sheets>
  <definedNames/>
  <calcPr/>
  <extLst>
    <ext uri="GoogleSheetsCustomDataVersion2">
      <go:sheetsCustomData xmlns:go="http://customooxmlschemas.google.com/" r:id="rId10" roundtripDataChecksum="CWLZ/8BuMuicQuO4OY2aaWCghoG7zmJSwlVzgPDqxdw="/>
    </ext>
  </extLst>
</workbook>
</file>

<file path=xl/sharedStrings.xml><?xml version="1.0" encoding="utf-8"?>
<sst xmlns="http://schemas.openxmlformats.org/spreadsheetml/2006/main" count="1236" uniqueCount="190">
  <si>
    <t>21 hari</t>
  </si>
  <si>
    <t>No</t>
  </si>
  <si>
    <t>25 hari</t>
  </si>
  <si>
    <t>Tanggal</t>
  </si>
  <si>
    <t>Hari/ Tanggal</t>
  </si>
  <si>
    <t>List menu</t>
  </si>
  <si>
    <t>Admin</t>
  </si>
  <si>
    <t>Jumlah</t>
  </si>
  <si>
    <t>Harga</t>
  </si>
  <si>
    <t>Total</t>
  </si>
  <si>
    <t>Deskripsi</t>
  </si>
  <si>
    <t xml:space="preserve">Refund </t>
  </si>
  <si>
    <t>Pemasukan</t>
  </si>
  <si>
    <t>Total Menu Terjual</t>
  </si>
  <si>
    <t>1.</t>
  </si>
  <si>
    <t>Keterangan</t>
  </si>
  <si>
    <t>Refund</t>
  </si>
  <si>
    <t>AYM006</t>
  </si>
  <si>
    <t>menu utama</t>
  </si>
  <si>
    <t>Nama Clien</t>
  </si>
  <si>
    <t>Instansi</t>
  </si>
  <si>
    <t>Keperluan</t>
  </si>
  <si>
    <t>LAPORAN PER 5 HARI</t>
  </si>
  <si>
    <t xml:space="preserve">1. </t>
  </si>
  <si>
    <t>Sofi, Anysa, Aini</t>
  </si>
  <si>
    <t>Andrian (tim kak Yasmin)</t>
  </si>
  <si>
    <t>PT.SEPCO</t>
  </si>
  <si>
    <t xml:space="preserve">Sewa private room (block office) selama 3 bulan </t>
  </si>
  <si>
    <t>D012</t>
  </si>
  <si>
    <r>
      <rPr>
        <rFont val="Times New Roman"/>
        <color theme="1"/>
        <sz val="11.0"/>
      </rPr>
      <t xml:space="preserve">Lunas (tf ke ibu an atas nama </t>
    </r>
    <r>
      <rPr>
        <rFont val="Times New Roman"/>
        <b/>
        <color theme="1"/>
        <sz val="11.0"/>
      </rPr>
      <t>Media Wedia</t>
    </r>
    <r>
      <rPr>
        <rFont val="Times New Roman"/>
        <color theme="1"/>
        <sz val="11.0"/>
      </rPr>
      <t>)</t>
    </r>
  </si>
  <si>
    <t>2.</t>
  </si>
  <si>
    <t>Dhea, Enchy</t>
  </si>
  <si>
    <t xml:space="preserve">Mas Dandy </t>
  </si>
  <si>
    <t>Cafe Sanama</t>
  </si>
  <si>
    <t xml:space="preserve">Interview </t>
  </si>
  <si>
    <t>Konfirmasi lewat bu an</t>
  </si>
  <si>
    <t>3.</t>
  </si>
  <si>
    <t>Survei lokasi, dan penataan ruang, ukur ruangan</t>
  </si>
  <si>
    <t>Ukur ruangan</t>
  </si>
  <si>
    <t>4.</t>
  </si>
  <si>
    <t>Mas Addrian</t>
  </si>
  <si>
    <t>Meeting Privat Room Virtual Office 5 orang</t>
  </si>
  <si>
    <t>Sudah konfirmasi ke Ibu Ann (pembayaran VO)</t>
  </si>
  <si>
    <t>5.</t>
  </si>
  <si>
    <t>Mas Dandy</t>
  </si>
  <si>
    <t xml:space="preserve">Bertemu Bu An </t>
  </si>
  <si>
    <t>-</t>
  </si>
  <si>
    <t>6.</t>
  </si>
  <si>
    <t>ekstra</t>
  </si>
  <si>
    <t>Tgl</t>
  </si>
  <si>
    <t>Menu Utama</t>
  </si>
  <si>
    <t>Ekstra</t>
  </si>
  <si>
    <t>AIR01</t>
  </si>
  <si>
    <t>D006</t>
  </si>
  <si>
    <t>08/09-02-2025</t>
  </si>
  <si>
    <t>01-05 Maret 2025</t>
  </si>
  <si>
    <t>MTG AYM</t>
  </si>
  <si>
    <t>06-10 Maret 2025</t>
  </si>
  <si>
    <t>08-12 februari 2025</t>
  </si>
  <si>
    <t>TBK22</t>
  </si>
  <si>
    <t>AYM SE</t>
  </si>
  <si>
    <t>11-15 Maret 2025</t>
  </si>
  <si>
    <t>NSAYAM005</t>
  </si>
  <si>
    <t>REFUND</t>
  </si>
  <si>
    <t>16-20 Maret 2025</t>
  </si>
  <si>
    <t>D002</t>
  </si>
  <si>
    <t>13-17 februari 2025</t>
  </si>
  <si>
    <t>21-26 Maret 2025</t>
  </si>
  <si>
    <t>bangladehs</t>
  </si>
  <si>
    <t>VANILA01</t>
  </si>
  <si>
    <t>DGN1</t>
  </si>
  <si>
    <t>D004</t>
  </si>
  <si>
    <t>D018</t>
  </si>
  <si>
    <t>Total keseluruhan</t>
  </si>
  <si>
    <t>18-22 februari 2025</t>
  </si>
  <si>
    <t>0000</t>
  </si>
  <si>
    <t>Event0021</t>
  </si>
  <si>
    <t>SMBL M</t>
  </si>
  <si>
    <t>23-27 februari 2025</t>
  </si>
  <si>
    <t>INDOMIE01</t>
  </si>
  <si>
    <t>01 - 03 Mei 2025</t>
  </si>
  <si>
    <t>Laporan Per 1 Minggu</t>
  </si>
  <si>
    <t>EKS002</t>
  </si>
  <si>
    <t>01 - 06 Mei 2025</t>
  </si>
  <si>
    <t xml:space="preserve">3. </t>
  </si>
  <si>
    <t xml:space="preserve"> AYM SE</t>
  </si>
  <si>
    <t>04 - 06 Mei 2025</t>
  </si>
  <si>
    <t>07 - 11 Mei 2025</t>
  </si>
  <si>
    <t>Event008</t>
  </si>
  <si>
    <t>D009</t>
  </si>
  <si>
    <t>0001</t>
  </si>
  <si>
    <t>12 - 18 Mei 2025</t>
  </si>
  <si>
    <t>0002</t>
  </si>
  <si>
    <t>19 - 24 Mei 2025</t>
  </si>
  <si>
    <t>TKW01</t>
  </si>
  <si>
    <t>19 - 21 Mei 2025</t>
  </si>
  <si>
    <t>25 - 31 Mei 2025</t>
  </si>
  <si>
    <t>Total keselutuhan</t>
  </si>
  <si>
    <t>22 - 24 Mei 2025</t>
  </si>
  <si>
    <t>25 - 27 Mei 2025</t>
  </si>
  <si>
    <t>28 - 31 Mei 2025</t>
  </si>
  <si>
    <t>LEMONTEA</t>
  </si>
  <si>
    <t>DMS002</t>
  </si>
  <si>
    <t>Total Keseluruhan</t>
  </si>
  <si>
    <t>DMS001</t>
  </si>
  <si>
    <t>bangladesh</t>
  </si>
  <si>
    <t>DG01</t>
  </si>
  <si>
    <t>OOOO</t>
  </si>
  <si>
    <t xml:space="preserve">04 - 06 Mei 2025 </t>
  </si>
  <si>
    <t>OOO1</t>
  </si>
  <si>
    <t>MXDP001</t>
  </si>
  <si>
    <t>Pkt002</t>
  </si>
  <si>
    <t>Pkt03</t>
  </si>
  <si>
    <t>DMS003</t>
  </si>
  <si>
    <t>D0012</t>
  </si>
  <si>
    <t xml:space="preserve">5. </t>
  </si>
  <si>
    <t>RMDN001</t>
  </si>
  <si>
    <t xml:space="preserve">4. </t>
  </si>
  <si>
    <t>AYAM SE</t>
  </si>
  <si>
    <t>DGN 1</t>
  </si>
  <si>
    <t>PKT002</t>
  </si>
  <si>
    <t>AYAM006</t>
  </si>
  <si>
    <t>7.</t>
  </si>
  <si>
    <t>EVENT008</t>
  </si>
  <si>
    <t>8.</t>
  </si>
  <si>
    <t>MIEBANGLADESH</t>
  </si>
  <si>
    <t>9.</t>
  </si>
  <si>
    <t>10.</t>
  </si>
  <si>
    <t>OOO2</t>
  </si>
  <si>
    <t>11.</t>
  </si>
  <si>
    <t>12.</t>
  </si>
  <si>
    <t>DO12</t>
  </si>
  <si>
    <t>DOO4</t>
  </si>
  <si>
    <t>DOO6</t>
  </si>
  <si>
    <t>13.</t>
  </si>
  <si>
    <t>14.</t>
  </si>
  <si>
    <t>15.</t>
  </si>
  <si>
    <t>Menu Ekstra</t>
  </si>
  <si>
    <t xml:space="preserve">Jumlah </t>
  </si>
  <si>
    <t>Total Ekstra</t>
  </si>
  <si>
    <t xml:space="preserve">Laporan per 1 Minggu </t>
  </si>
  <si>
    <t>01 - 03 Juni 2025</t>
  </si>
  <si>
    <t>TELUR</t>
  </si>
  <si>
    <t>16.</t>
  </si>
  <si>
    <t>01 - 06 Juni 2025</t>
  </si>
  <si>
    <t>07 - 13 Juni 2025</t>
  </si>
  <si>
    <t>04 - 06 Juni 2025</t>
  </si>
  <si>
    <t>07 - 09 Juni 2025</t>
  </si>
  <si>
    <t>10 - 13 Juni 2025</t>
  </si>
  <si>
    <t>17.</t>
  </si>
  <si>
    <t>18.</t>
  </si>
  <si>
    <t>19.</t>
  </si>
  <si>
    <t>20.</t>
  </si>
  <si>
    <t>DAGING</t>
  </si>
  <si>
    <t>21.</t>
  </si>
  <si>
    <t>KENTANG</t>
  </si>
  <si>
    <t>22.</t>
  </si>
  <si>
    <t>DG001</t>
  </si>
  <si>
    <t>Evant008</t>
  </si>
  <si>
    <t>23.</t>
  </si>
  <si>
    <t>DOO2</t>
  </si>
  <si>
    <t>DMSOO1</t>
  </si>
  <si>
    <t>DMSOO2</t>
  </si>
  <si>
    <t>DOO9</t>
  </si>
  <si>
    <t>24.</t>
  </si>
  <si>
    <t>DMSOO3</t>
  </si>
  <si>
    <t>DO18</t>
  </si>
  <si>
    <t xml:space="preserve">28 hari </t>
  </si>
  <si>
    <t>Laporan per 1 Minggu</t>
  </si>
  <si>
    <t>03 - 06, April 2025</t>
  </si>
  <si>
    <t xml:space="preserve">03-09 April 2025 </t>
  </si>
  <si>
    <t>03 - 09 April 2025</t>
  </si>
  <si>
    <t>07-09 April 2025</t>
  </si>
  <si>
    <t>10 - 16 April 2025</t>
  </si>
  <si>
    <t>10-13 April 2025</t>
  </si>
  <si>
    <t>17 - 23 April 2025</t>
  </si>
  <si>
    <t>14-16 April 2025</t>
  </si>
  <si>
    <t>24 - 26 April 2025</t>
  </si>
  <si>
    <t>17-20 April 2025</t>
  </si>
  <si>
    <t>21-23 April 2025</t>
  </si>
  <si>
    <t>24-26 April 2025</t>
  </si>
  <si>
    <t>Event21</t>
  </si>
  <si>
    <t xml:space="preserve">2. </t>
  </si>
  <si>
    <t>07 - 09 April 2025</t>
  </si>
  <si>
    <t>10 - 13 April 2025</t>
  </si>
  <si>
    <t>14 - 16 April 2025</t>
  </si>
  <si>
    <t>17 - 20 April 2025</t>
  </si>
  <si>
    <t>21 - 23 April 2025</t>
  </si>
  <si>
    <t>RSVP02</t>
  </si>
  <si>
    <t xml:space="preserve">24 - 26 April 2025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</si>
</sst>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d, dd mmmm yyyy"/>
    <numFmt numFmtId="165" formatCode="dd/mm/yyyy"/>
    <numFmt numFmtId="166" formatCode="dddd, dd-mm-yyyy"/>
    <numFmt numFmtId="167" formatCode="dd-mm-yyyy"/>
    <numFmt numFmtId="168" formatCode="d mmmm yyyy"/>
    <numFmt numFmtId="169" formatCode="dddd, d mmmm yyyy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sz val="11.0"/>
      <color theme="1"/>
      <name val="Times New Roman"/>
    </font>
    <font>
      <b/>
      <color theme="1"/>
      <name val="Calibri"/>
      <scheme val="minor"/>
    </font>
    <font/>
    <font>
      <b/>
      <sz val="13.0"/>
      <color theme="1"/>
      <name val="Calibri"/>
      <scheme val="minor"/>
    </font>
    <font>
      <b/>
      <sz val="11.0"/>
      <color theme="1"/>
      <name val="Calibri"/>
    </font>
    <font>
      <b/>
      <color rgb="FF00000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93C47D"/>
      </left>
      <right style="medium">
        <color rgb="FF93C47D"/>
      </right>
      <top style="medium">
        <color rgb="FF93C47D"/>
      </top>
      <bottom style="medium">
        <color rgb="FF93C47D"/>
      </bottom>
    </border>
    <border>
      <left style="medium">
        <color rgb="FFD9D2E9"/>
      </left>
      <right style="medium">
        <color rgb="FFD9D2E9"/>
      </right>
      <top style="medium">
        <color rgb="FFD9D2E9"/>
      </top>
      <bottom style="medium">
        <color rgb="FFD9D2E9"/>
      </bottom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center"/>
    </xf>
    <xf borderId="0" fillId="0" fontId="1" numFmtId="4" xfId="0" applyFont="1" applyNumberFormat="1"/>
    <xf borderId="2" fillId="0" fontId="5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4" fillId="0" fontId="6" numFmtId="0" xfId="0" applyBorder="1" applyFont="1"/>
    <xf borderId="5" fillId="0" fontId="6" numFmtId="0" xfId="0" applyBorder="1" applyFont="1"/>
    <xf borderId="2" fillId="2" fontId="5" numFmtId="164" xfId="0" applyAlignment="1" applyBorder="1" applyFill="1" applyFont="1" applyNumberFormat="1">
      <alignment horizontal="center" readingOrder="0"/>
    </xf>
    <xf borderId="6" fillId="0" fontId="6" numFmtId="0" xfId="0" applyBorder="1" applyFont="1"/>
    <xf borderId="2" fillId="0" fontId="1" numFmtId="0" xfId="0" applyAlignment="1" applyBorder="1" applyFont="1">
      <alignment horizontal="center" readingOrder="0"/>
    </xf>
    <xf borderId="0" fillId="3" fontId="5" numFmtId="0" xfId="0" applyAlignment="1" applyFill="1" applyFont="1">
      <alignment readingOrder="0"/>
    </xf>
    <xf borderId="2" fillId="0" fontId="4" numFmtId="0" xfId="0" applyAlignment="1" applyBorder="1" applyFont="1">
      <alignment horizontal="center" readingOrder="0" vertical="center"/>
    </xf>
    <xf borderId="2" fillId="0" fontId="1" numFmtId="3" xfId="0" applyAlignment="1" applyBorder="1" applyFont="1" applyNumberFormat="1">
      <alignment horizontal="center" readingOrder="0"/>
    </xf>
    <xf borderId="0" fillId="3" fontId="5" numFmtId="3" xfId="0" applyAlignment="1" applyFill="1" applyFont="1" applyNumberFormat="1">
      <alignment horizontal="center" readingOrder="0"/>
    </xf>
    <xf borderId="2" fillId="0" fontId="4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0" fontId="4" numFmtId="165" xfId="0" applyAlignment="1" applyBorder="1" applyFont="1" applyNumberFormat="1">
      <alignment horizontal="center" readingOrder="0" vertical="center"/>
    </xf>
    <xf borderId="2" fillId="3" fontId="5" numFmtId="166" xfId="0" applyAlignment="1" applyBorder="1" applyFill="1" applyFont="1" applyNumberFormat="1">
      <alignment horizontal="center" readingOrder="0"/>
    </xf>
    <xf borderId="2" fillId="0" fontId="4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/>
    </xf>
    <xf borderId="2" fillId="0" fontId="4" numFmtId="0" xfId="0" applyAlignment="1" applyBorder="1" applyFont="1">
      <alignment horizontal="left" vertical="center"/>
    </xf>
    <xf borderId="2" fillId="0" fontId="2" numFmtId="0" xfId="0" applyBorder="1" applyFont="1"/>
    <xf borderId="2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2" fontId="5" numFmtId="0" xfId="0" applyAlignment="1" applyFill="1" applyFont="1">
      <alignment readingOrder="0"/>
    </xf>
    <xf borderId="0" fillId="2" fontId="5" numFmtId="3" xfId="0" applyAlignment="1" applyFill="1" applyFont="1" applyNumberFormat="1">
      <alignment horizontal="center" readingOrder="0"/>
    </xf>
    <xf borderId="0" fillId="3" fontId="5" numFmtId="0" xfId="0" applyAlignment="1" applyFill="1" applyFont="1">
      <alignment horizontal="center" readingOrder="0"/>
    </xf>
    <xf borderId="2" fillId="0" fontId="1" numFmtId="0" xfId="0" applyBorder="1" applyFont="1"/>
    <xf borderId="0" fillId="0" fontId="1" numFmtId="3" xfId="0" applyAlignment="1" applyFont="1" applyNumberFormat="1">
      <alignment horizontal="center" readingOrder="0"/>
    </xf>
    <xf borderId="7" fillId="0" fontId="6" numFmtId="0" xfId="0" applyBorder="1" applyFont="1"/>
    <xf borderId="0" fillId="2" fontId="5" numFmtId="0" xfId="0" applyAlignment="1" applyFill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1" numFmtId="167" xfId="0" applyAlignment="1" applyBorder="1" applyFont="1" applyNumberFormat="1">
      <alignment horizontal="center" readingOrder="0"/>
    </xf>
    <xf borderId="0" fillId="0" fontId="1" numFmtId="0" xfId="0" applyFont="1"/>
    <xf borderId="8" fillId="0" fontId="1" numFmtId="0" xfId="0" applyAlignment="1" applyBorder="1" applyFont="1">
      <alignment readingOrder="0"/>
    </xf>
    <xf borderId="9" fillId="0" fontId="1" numFmtId="0" xfId="0" applyBorder="1" applyFont="1"/>
    <xf borderId="2" fillId="0" fontId="5" numFmtId="0" xfId="0" applyAlignment="1" applyBorder="1" applyFont="1">
      <alignment readingOrder="0"/>
    </xf>
    <xf borderId="2" fillId="0" fontId="5" numFmtId="0" xfId="0" applyBorder="1" applyFont="1"/>
    <xf borderId="10" fillId="0" fontId="1" numFmtId="0" xfId="0" applyAlignment="1" applyBorder="1" applyFont="1">
      <alignment readingOrder="0"/>
    </xf>
    <xf borderId="11" fillId="0" fontId="1" numFmtId="0" xfId="0" applyBorder="1" applyFont="1"/>
    <xf borderId="3" fillId="4" fontId="5" numFmtId="0" xfId="0" applyAlignment="1" applyBorder="1" applyFill="1" applyFont="1">
      <alignment horizontal="center" readingOrder="0"/>
    </xf>
    <xf borderId="5" fillId="4" fontId="5" numFmtId="0" xfId="0" applyAlignment="1" applyBorder="1" applyFill="1" applyFont="1">
      <alignment horizontal="center"/>
    </xf>
    <xf quotePrefix="1" borderId="2" fillId="0" fontId="1" numFmtId="0" xfId="0" applyAlignment="1" applyBorder="1" applyFont="1">
      <alignment horizontal="center" readingOrder="0"/>
    </xf>
    <xf borderId="12" fillId="0" fontId="1" numFmtId="168" xfId="0" applyAlignment="1" applyBorder="1" applyFont="1" applyNumberFormat="1">
      <alignment horizontal="left" readingOrder="0"/>
    </xf>
    <xf borderId="0" fillId="5" fontId="5" numFmtId="0" xfId="0" applyAlignment="1" applyFill="1" applyFont="1">
      <alignment readingOrder="0"/>
    </xf>
    <xf borderId="13" fillId="0" fontId="1" numFmtId="0" xfId="0" applyAlignment="1" applyBorder="1" applyFont="1">
      <alignment horizontal="right"/>
    </xf>
    <xf borderId="0" fillId="5" fontId="5" numFmtId="3" xfId="0" applyAlignment="1" applyFill="1" applyFont="1" applyNumberFormat="1">
      <alignment horizontal="center" readingOrder="0"/>
    </xf>
    <xf borderId="0" fillId="5" fontId="5" numFmtId="0" xfId="0" applyAlignment="1" applyFill="1" applyFont="1">
      <alignment horizontal="center" readingOrder="0"/>
    </xf>
    <xf borderId="2" fillId="5" fontId="5" numFmtId="0" xfId="0" applyAlignment="1" applyBorder="1" applyFill="1" applyFont="1">
      <alignment horizontal="center" readingOrder="0"/>
    </xf>
    <xf borderId="2" fillId="0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/>
    </xf>
    <xf borderId="2" fillId="6" fontId="1" numFmtId="0" xfId="0" applyAlignment="1" applyBorder="1" applyFill="1" applyFont="1">
      <alignment horizontal="center" readingOrder="0"/>
    </xf>
    <xf borderId="14" fillId="0" fontId="1" numFmtId="0" xfId="0" applyAlignment="1" applyBorder="1" applyFont="1">
      <alignment readingOrder="0"/>
    </xf>
    <xf borderId="14" fillId="0" fontId="1" numFmtId="0" xfId="0" applyBorder="1" applyFont="1"/>
    <xf borderId="0" fillId="0" fontId="1" numFmtId="167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2" fillId="6" fontId="1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vertical="center"/>
    </xf>
    <xf borderId="2" fillId="5" fontId="5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2" fillId="2" fontId="5" numFmtId="169" xfId="0" applyAlignment="1" applyBorder="1" applyFill="1" applyFont="1" applyNumberFormat="1">
      <alignment horizontal="center" readingOrder="0"/>
    </xf>
    <xf borderId="2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3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center" wrapText="0"/>
    </xf>
    <xf borderId="0" fillId="7" fontId="5" numFmtId="0" xfId="0" applyAlignment="1" applyFill="1" applyFont="1">
      <alignment readingOrder="0"/>
    </xf>
    <xf borderId="0" fillId="7" fontId="5" numFmtId="3" xfId="0" applyAlignment="1" applyFill="1" applyFont="1" applyNumberFormat="1">
      <alignment horizontal="center" readingOrder="0"/>
    </xf>
    <xf borderId="0" fillId="7" fontId="5" numFmtId="0" xfId="0" applyAlignment="1" applyFill="1" applyFont="1">
      <alignment horizontal="center" readingOrder="0"/>
    </xf>
    <xf borderId="2" fillId="8" fontId="5" numFmtId="0" xfId="0" applyAlignment="1" applyBorder="1" applyFill="1" applyFont="1">
      <alignment horizontal="center" readingOrder="0" vertical="center"/>
    </xf>
    <xf borderId="2" fillId="8" fontId="5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2" fillId="7" fontId="5" numFmtId="0" xfId="0" applyAlignment="1" applyBorder="1" applyFill="1" applyFont="1">
      <alignment horizontal="center" readingOrder="0" vertical="center"/>
    </xf>
    <xf borderId="15" fillId="0" fontId="1" numFmtId="0" xfId="0" applyAlignment="1" applyBorder="1" applyFont="1">
      <alignment readingOrder="0"/>
    </xf>
    <xf borderId="15" fillId="0" fontId="1" numFmtId="0" xfId="0" applyBorder="1" applyFont="1"/>
    <xf borderId="2" fillId="3" fontId="9" numFmtId="166" xfId="0" applyAlignment="1" applyBorder="1" applyFill="1" applyFont="1" applyNumberFormat="1">
      <alignment horizontal="center" readingOrder="0"/>
    </xf>
    <xf borderId="1" fillId="0" fontId="1" numFmtId="0" xfId="0" applyAlignment="1" applyBorder="1" applyFont="1">
      <alignment horizontal="center" vertical="center"/>
    </xf>
    <xf borderId="2" fillId="7" fontId="1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9" fontId="5" numFmtId="0" xfId="0" applyAlignment="1" applyFill="1" applyFont="1">
      <alignment readingOrder="0"/>
    </xf>
    <xf borderId="0" fillId="9" fontId="5" numFmtId="3" xfId="0" applyAlignment="1" applyFill="1" applyFont="1" applyNumberFormat="1">
      <alignment horizontal="center" readingOrder="0"/>
    </xf>
    <xf borderId="0" fillId="9" fontId="5" numFmtId="0" xfId="0" applyAlignment="1" applyFill="1" applyFont="1">
      <alignment horizontal="center" readingOrder="0"/>
    </xf>
    <xf borderId="2" fillId="9" fontId="5" numFmtId="0" xfId="0" applyAlignment="1" applyBorder="1" applyFill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3" fillId="4" fontId="1" numFmtId="0" xfId="0" applyAlignment="1" applyBorder="1" applyFill="1" applyFont="1">
      <alignment horizontal="center" readingOrder="0"/>
    </xf>
    <xf borderId="5" fillId="4" fontId="1" numFmtId="3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'laporan sanama april'!$P$3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'laporan sanama april'!$O$4:$O$10</c:f>
            </c:strRef>
          </c:cat>
          <c:val>
            <c:numRef>
              <c:f>'laporan sanama april'!$P$4:$P$10</c:f>
              <c:numCache/>
            </c:numRef>
          </c:val>
        </c:ser>
        <c:ser>
          <c:idx val="1"/>
          <c:order val="1"/>
          <c:tx>
            <c:strRef>
              <c:f>'laporan sanama april'!$Q$3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'laporan sanama april'!$O$4:$O$10</c:f>
            </c:strRef>
          </c:cat>
          <c:val>
            <c:numRef>
              <c:f>'laporan sanama april'!$Q$4:$Q$10</c:f>
              <c:numCache/>
            </c:numRef>
          </c:val>
        </c:ser>
        <c:ser>
          <c:idx val="2"/>
          <c:order val="2"/>
          <c:tx>
            <c:strRef>
              <c:f>'laporan sanama april'!$R$3</c:f>
            </c:strRef>
          </c:tx>
          <c:cat>
            <c:strRef>
              <c:f>'laporan sanama april'!$O$4:$O$10</c:f>
            </c:strRef>
          </c:cat>
          <c:val>
            <c:numRef>
              <c:f>'laporan sanama april'!$R$4:$R$10</c:f>
              <c:numCache/>
            </c:numRef>
          </c:val>
        </c:ser>
        <c:axId val="921658318"/>
        <c:axId val="960567217"/>
      </c:barChart>
      <c:catAx>
        <c:axId val="921658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567217"/>
      </c:catAx>
      <c:valAx>
        <c:axId val="960567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6583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'laporan sanama april'!$T$4:$T$7</c:f>
            </c:strRef>
          </c:cat>
          <c:val>
            <c:numRef>
              <c:f>'laporan sanama april'!$U$4:$U$7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'laporan sanama april'!$C$3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'laporan sanama april'!$B$4:$B$137</c:f>
            </c:strRef>
          </c:cat>
          <c:val>
            <c:numRef>
              <c:f>'laporan sanama april'!$C$4:$C$137</c:f>
              <c:numCache/>
            </c:numRef>
          </c:val>
        </c:ser>
        <c:ser>
          <c:idx val="1"/>
          <c:order val="1"/>
          <c:tx>
            <c:strRef>
              <c:f>'laporan sanama april'!$D$3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'laporan sanama april'!$B$4:$B$137</c:f>
            </c:strRef>
          </c:cat>
          <c:val>
            <c:numRef>
              <c:f>'laporan sanama april'!$D$4:$D$137</c:f>
              <c:numCache/>
            </c:numRef>
          </c:val>
        </c:ser>
        <c:ser>
          <c:idx val="2"/>
          <c:order val="2"/>
          <c:tx>
            <c:strRef>
              <c:f>'laporan sanama april'!$E$3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'laporan sanama april'!$B$4:$B$137</c:f>
            </c:strRef>
          </c:cat>
          <c:val>
            <c:numRef>
              <c:f>'laporan sanama april'!$E$4:$E$137</c:f>
              <c:numCache/>
            </c:numRef>
          </c:val>
        </c:ser>
        <c:ser>
          <c:idx val="3"/>
          <c:order val="3"/>
          <c:tx>
            <c:strRef>
              <c:f>'laporan sanama april'!$F$3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'laporan sanama april'!$B$4:$B$137</c:f>
            </c:strRef>
          </c:cat>
          <c:val>
            <c:numRef>
              <c:f>'laporan sanama april'!$F$4:$F$137</c:f>
              <c:numCache/>
            </c:numRef>
          </c:val>
        </c:ser>
        <c:ser>
          <c:idx val="4"/>
          <c:order val="4"/>
          <c:tx>
            <c:strRef>
              <c:f>'laporan sanama april'!$G$3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'laporan sanama april'!$B$4:$B$137</c:f>
            </c:strRef>
          </c:cat>
          <c:val>
            <c:numRef>
              <c:f>'laporan sanama april'!$G$4:$G$137</c:f>
              <c:numCache/>
            </c:numRef>
          </c:val>
        </c:ser>
        <c:ser>
          <c:idx val="5"/>
          <c:order val="5"/>
          <c:tx>
            <c:strRef>
              <c:f>'laporan sanama april'!$H$3</c:f>
            </c:strRef>
          </c:tx>
          <c:cat>
            <c:strRef>
              <c:f>'laporan sanama april'!$B$4:$B$137</c:f>
            </c:strRef>
          </c:cat>
          <c:val>
            <c:numRef>
              <c:f>'laporan sanama april'!$H$4:$H$137</c:f>
              <c:numCache/>
            </c:numRef>
          </c:val>
        </c:ser>
        <c:ser>
          <c:idx val="6"/>
          <c:order val="6"/>
          <c:tx>
            <c:strRef>
              <c:f>'laporan sanama april'!$I$3</c:f>
            </c:strRef>
          </c:tx>
          <c:cat>
            <c:strRef>
              <c:f>'laporan sanama april'!$B$4:$B$137</c:f>
            </c:strRef>
          </c:cat>
          <c:val>
            <c:numRef>
              <c:f>'laporan sanama april'!$I$4:$I$137</c:f>
              <c:numCache/>
            </c:numRef>
          </c:val>
        </c:ser>
        <c:ser>
          <c:idx val="7"/>
          <c:order val="7"/>
          <c:tx>
            <c:strRef>
              <c:f>'laporan sanama april'!$J$3</c:f>
            </c:strRef>
          </c:tx>
          <c:cat>
            <c:strRef>
              <c:f>'laporan sanama april'!$B$4:$B$137</c:f>
            </c:strRef>
          </c:cat>
          <c:val>
            <c:numRef>
              <c:f>'laporan sanama april'!$J$4:$J$137</c:f>
              <c:numCache/>
            </c:numRef>
          </c:val>
        </c:ser>
        <c:overlap val="100"/>
        <c:axId val="1178486245"/>
        <c:axId val="211611412"/>
      </c:barChart>
      <c:catAx>
        <c:axId val="1178486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11412"/>
      </c:catAx>
      <c:valAx>
        <c:axId val="211611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486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266700</xdr:colOff>
      <xdr:row>20</xdr:row>
      <xdr:rowOff>123825</xdr:rowOff>
    </xdr:from>
    <xdr:ext cx="3667125" cy="2266950"/>
    <xdr:graphicFrame>
      <xdr:nvGraphicFramePr>
        <xdr:cNvPr id="102117703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28575</xdr:colOff>
      <xdr:row>13</xdr:row>
      <xdr:rowOff>76200</xdr:rowOff>
    </xdr:from>
    <xdr:ext cx="2886075" cy="1781175"/>
    <xdr:graphicFrame>
      <xdr:nvGraphicFramePr>
        <xdr:cNvPr id="2031655989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138</xdr:row>
      <xdr:rowOff>142875</xdr:rowOff>
    </xdr:from>
    <xdr:ext cx="8162925" cy="5038725"/>
    <xdr:graphicFrame>
      <xdr:nvGraphicFramePr>
        <xdr:cNvPr id="1934956114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3" width="16.86"/>
    <col customWidth="1" min="4" max="4" width="24.43"/>
    <col customWidth="1" min="5" max="5" width="22.29"/>
    <col customWidth="1" min="6" max="6" width="48.0"/>
    <col customWidth="1" min="7" max="7" width="47.14"/>
    <col customWidth="1" min="8" max="26" width="8.71"/>
  </cols>
  <sheetData>
    <row r="1" ht="14.25" customHeight="1"/>
    <row r="2" ht="14.25" customHeight="1"/>
    <row r="3" ht="14.25" customHeight="1">
      <c r="A3" s="2" t="s">
        <v>1</v>
      </c>
      <c r="B3" s="4" t="s">
        <v>3</v>
      </c>
      <c r="C3" s="4" t="s">
        <v>6</v>
      </c>
      <c r="D3" s="7" t="s">
        <v>10</v>
      </c>
      <c r="E3" s="10"/>
      <c r="F3" s="11"/>
      <c r="G3" s="4" t="s">
        <v>15</v>
      </c>
    </row>
    <row r="4" ht="14.25" customHeight="1">
      <c r="A4" s="13"/>
      <c r="B4" s="13"/>
      <c r="C4" s="13"/>
      <c r="D4" s="16" t="s">
        <v>19</v>
      </c>
      <c r="E4" s="19" t="s">
        <v>20</v>
      </c>
      <c r="F4" s="19" t="s">
        <v>21</v>
      </c>
      <c r="G4" s="13"/>
    </row>
    <row r="5" ht="14.25" customHeight="1">
      <c r="A5" s="21" t="s">
        <v>23</v>
      </c>
      <c r="B5" s="22">
        <v>45692.0</v>
      </c>
      <c r="C5" s="16" t="s">
        <v>24</v>
      </c>
      <c r="D5" s="16" t="s">
        <v>25</v>
      </c>
      <c r="E5" s="16" t="s">
        <v>26</v>
      </c>
      <c r="F5" s="24" t="s">
        <v>27</v>
      </c>
      <c r="G5" s="24" t="s">
        <v>29</v>
      </c>
    </row>
    <row r="6" ht="14.25" customHeight="1">
      <c r="A6" s="21" t="s">
        <v>30</v>
      </c>
      <c r="B6" s="22">
        <v>45693.0</v>
      </c>
      <c r="C6" s="16" t="s">
        <v>31</v>
      </c>
      <c r="D6" s="16" t="s">
        <v>32</v>
      </c>
      <c r="E6" s="16" t="s">
        <v>33</v>
      </c>
      <c r="F6" s="16" t="s">
        <v>34</v>
      </c>
      <c r="G6" s="16" t="s">
        <v>35</v>
      </c>
    </row>
    <row r="7" ht="14.25" customHeight="1">
      <c r="A7" s="21" t="s">
        <v>36</v>
      </c>
      <c r="B7" s="22">
        <v>45694.0</v>
      </c>
      <c r="C7" s="16" t="s">
        <v>24</v>
      </c>
      <c r="D7" s="16" t="s">
        <v>32</v>
      </c>
      <c r="E7" s="16" t="s">
        <v>33</v>
      </c>
      <c r="F7" s="24" t="s">
        <v>37</v>
      </c>
      <c r="G7" s="24" t="s">
        <v>38</v>
      </c>
    </row>
    <row r="8" ht="14.25" customHeight="1">
      <c r="A8" s="21" t="s">
        <v>39</v>
      </c>
      <c r="B8" s="22">
        <v>45694.0</v>
      </c>
      <c r="C8" s="16" t="s">
        <v>24</v>
      </c>
      <c r="D8" s="16" t="s">
        <v>40</v>
      </c>
      <c r="E8" s="16" t="s">
        <v>26</v>
      </c>
      <c r="F8" s="24" t="s">
        <v>41</v>
      </c>
      <c r="G8" s="24" t="s">
        <v>42</v>
      </c>
    </row>
    <row r="9" ht="14.25" customHeight="1">
      <c r="A9" s="21" t="s">
        <v>43</v>
      </c>
      <c r="B9" s="22">
        <v>45695.0</v>
      </c>
      <c r="C9" s="16" t="s">
        <v>31</v>
      </c>
      <c r="D9" s="16" t="s">
        <v>44</v>
      </c>
      <c r="E9" s="16" t="s">
        <v>33</v>
      </c>
      <c r="F9" s="24" t="s">
        <v>45</v>
      </c>
      <c r="G9" s="24" t="s">
        <v>46</v>
      </c>
    </row>
    <row r="10" ht="14.25" customHeight="1">
      <c r="A10" s="21" t="s">
        <v>47</v>
      </c>
      <c r="B10" s="22"/>
      <c r="C10" s="16"/>
      <c r="D10" s="16"/>
      <c r="E10" s="16"/>
      <c r="F10" s="24"/>
      <c r="G10" s="26"/>
    </row>
    <row r="11" ht="14.25" customHeight="1">
      <c r="A11" s="27"/>
      <c r="B11" s="19"/>
      <c r="C11" s="19"/>
      <c r="D11" s="19"/>
      <c r="E11" s="19"/>
      <c r="F11" s="26"/>
      <c r="G11" s="26"/>
    </row>
    <row r="12" ht="14.25" customHeight="1">
      <c r="A12" s="27"/>
      <c r="B12" s="19"/>
      <c r="C12" s="19"/>
      <c r="D12" s="19"/>
      <c r="E12" s="19"/>
      <c r="F12" s="26"/>
      <c r="G12" s="26"/>
    </row>
    <row r="13" ht="14.25" customHeight="1">
      <c r="A13" s="27"/>
      <c r="B13" s="19"/>
      <c r="C13" s="19"/>
      <c r="D13" s="19"/>
      <c r="E13" s="19"/>
      <c r="F13" s="26"/>
      <c r="G13" s="26"/>
    </row>
    <row r="14" ht="14.25" customHeight="1">
      <c r="A14" s="27"/>
      <c r="B14" s="19"/>
      <c r="C14" s="19"/>
      <c r="D14" s="19"/>
      <c r="E14" s="19"/>
      <c r="F14" s="26"/>
      <c r="G14" s="26"/>
    </row>
    <row r="15" ht="14.25" customHeight="1">
      <c r="A15" s="27"/>
      <c r="B15" s="19"/>
      <c r="C15" s="19"/>
      <c r="D15" s="19"/>
      <c r="E15" s="19"/>
      <c r="F15" s="26"/>
      <c r="G15" s="26"/>
    </row>
    <row r="16" ht="14.25" customHeight="1">
      <c r="A16" s="27"/>
      <c r="B16" s="19"/>
      <c r="C16" s="19"/>
      <c r="D16" s="19"/>
      <c r="E16" s="19"/>
      <c r="F16" s="26"/>
      <c r="G16" s="26"/>
    </row>
    <row r="17" ht="14.25" customHeight="1">
      <c r="A17" s="27"/>
      <c r="B17" s="19"/>
      <c r="C17" s="19"/>
      <c r="D17" s="19"/>
      <c r="E17" s="19"/>
      <c r="F17" s="26"/>
      <c r="G17" s="26"/>
    </row>
    <row r="18" ht="14.25" customHeight="1">
      <c r="A18" s="27"/>
      <c r="B18" s="19"/>
      <c r="C18" s="19"/>
      <c r="D18" s="19"/>
      <c r="E18" s="19"/>
      <c r="F18" s="26"/>
      <c r="G18" s="26"/>
    </row>
    <row r="19" ht="14.25" customHeight="1">
      <c r="A19" s="27"/>
      <c r="B19" s="19"/>
      <c r="C19" s="19"/>
      <c r="D19" s="19"/>
      <c r="E19" s="19"/>
      <c r="F19" s="26"/>
      <c r="G19" s="26"/>
    </row>
    <row r="20" ht="14.25" customHeight="1">
      <c r="A20" s="27"/>
      <c r="B20" s="19"/>
      <c r="C20" s="19"/>
      <c r="D20" s="19"/>
      <c r="E20" s="19"/>
      <c r="F20" s="26"/>
      <c r="G20" s="26"/>
    </row>
    <row r="21" ht="14.25" customHeight="1">
      <c r="A21" s="27"/>
      <c r="B21" s="19"/>
      <c r="C21" s="19"/>
      <c r="D21" s="19"/>
      <c r="E21" s="19"/>
      <c r="F21" s="26"/>
      <c r="G21" s="26"/>
    </row>
    <row r="22" ht="14.25" customHeight="1">
      <c r="A22" s="27"/>
      <c r="B22" s="19"/>
      <c r="C22" s="19"/>
      <c r="D22" s="19"/>
      <c r="E22" s="19"/>
      <c r="F22" s="26"/>
      <c r="G22" s="26"/>
    </row>
    <row r="23" ht="14.25" customHeight="1">
      <c r="A23" s="27"/>
      <c r="B23" s="19"/>
      <c r="C23" s="19"/>
      <c r="D23" s="19"/>
      <c r="E23" s="19"/>
      <c r="F23" s="26"/>
      <c r="G23" s="2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A4"/>
    <mergeCell ref="B3:B4"/>
    <mergeCell ref="C3:C4"/>
    <mergeCell ref="D3:F3"/>
    <mergeCell ref="G3:G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0"/>
    <col customWidth="1" min="3" max="3" width="22.0"/>
    <col customWidth="1" min="4" max="4" width="18.86"/>
    <col customWidth="1" min="5" max="5" width="11.14"/>
    <col customWidth="1" min="8" max="8" width="14.43"/>
    <col customWidth="1" min="9" max="9" width="15.29"/>
    <col customWidth="1" min="10" max="10" width="20.57"/>
    <col customWidth="1" min="24" max="24" width="23.29"/>
  </cols>
  <sheetData>
    <row r="1">
      <c r="D1" s="1" t="s">
        <v>0</v>
      </c>
    </row>
    <row r="2">
      <c r="E2" s="5"/>
      <c r="P2" s="8"/>
    </row>
    <row r="3">
      <c r="B3" s="3" t="s">
        <v>1</v>
      </c>
      <c r="C3" s="3" t="s">
        <v>4</v>
      </c>
      <c r="D3" s="3" t="s">
        <v>5</v>
      </c>
      <c r="E3" s="3" t="s">
        <v>7</v>
      </c>
      <c r="F3" s="3" t="s">
        <v>8</v>
      </c>
      <c r="G3" s="3" t="s">
        <v>9</v>
      </c>
      <c r="H3" s="9" t="s">
        <v>16</v>
      </c>
      <c r="I3" s="3" t="s">
        <v>12</v>
      </c>
      <c r="J3" s="3" t="s">
        <v>13</v>
      </c>
      <c r="O3" s="15" t="s">
        <v>18</v>
      </c>
      <c r="P3" s="18">
        <v>1000.0</v>
      </c>
      <c r="X3" s="20" t="s">
        <v>22</v>
      </c>
    </row>
    <row r="4">
      <c r="B4" s="9" t="s">
        <v>14</v>
      </c>
      <c r="C4" s="23">
        <v>45696.0</v>
      </c>
      <c r="D4" s="14" t="s">
        <v>28</v>
      </c>
      <c r="E4" s="14">
        <v>6.0</v>
      </c>
      <c r="F4" s="17">
        <v>15000.0</v>
      </c>
      <c r="G4" s="25">
        <f t="shared" ref="G4:G232" si="1">E4*F4</f>
        <v>90000</v>
      </c>
      <c r="H4" s="25"/>
      <c r="I4" s="14">
        <f t="shared" ref="I4:I232" si="2">E4-H4</f>
        <v>6</v>
      </c>
      <c r="J4" s="29">
        <f>SUM(E4:E12)</f>
        <v>20</v>
      </c>
      <c r="O4" s="15" t="s">
        <v>48</v>
      </c>
      <c r="P4" s="32">
        <v>500.0</v>
      </c>
      <c r="R4" s="9" t="s">
        <v>49</v>
      </c>
      <c r="S4" s="9" t="s">
        <v>50</v>
      </c>
      <c r="T4" s="9" t="s">
        <v>51</v>
      </c>
      <c r="U4" s="9" t="s">
        <v>9</v>
      </c>
    </row>
    <row r="5">
      <c r="B5" s="14"/>
      <c r="C5" s="25"/>
      <c r="D5" s="14" t="s">
        <v>53</v>
      </c>
      <c r="E5" s="14">
        <v>3.0</v>
      </c>
      <c r="F5" s="17">
        <v>15000.0</v>
      </c>
      <c r="G5" s="25">
        <f t="shared" si="1"/>
        <v>45000</v>
      </c>
      <c r="H5" s="25"/>
      <c r="I5" s="14">
        <f t="shared" si="2"/>
        <v>3</v>
      </c>
      <c r="J5" s="35"/>
      <c r="R5" s="14" t="s">
        <v>54</v>
      </c>
      <c r="S5" s="25">
        <f>P3*J4</f>
        <v>20000</v>
      </c>
      <c r="T5" s="25"/>
      <c r="U5" s="25">
        <f t="shared" ref="U5:U15" si="3">sum(S5:T5)</f>
        <v>20000</v>
      </c>
      <c r="V5" s="39">
        <f>U5</f>
        <v>20000</v>
      </c>
      <c r="X5" s="40" t="s">
        <v>58</v>
      </c>
      <c r="Y5" s="41">
        <f>sum(U5:U8)</f>
        <v>71500</v>
      </c>
    </row>
    <row r="6">
      <c r="B6" s="14"/>
      <c r="C6" s="25"/>
      <c r="D6" s="14" t="s">
        <v>60</v>
      </c>
      <c r="E6" s="14">
        <v>2.0</v>
      </c>
      <c r="F6" s="17">
        <v>15000.0</v>
      </c>
      <c r="G6" s="25">
        <f t="shared" si="1"/>
        <v>30000</v>
      </c>
      <c r="H6" s="25"/>
      <c r="I6" s="14">
        <f t="shared" si="2"/>
        <v>2</v>
      </c>
      <c r="J6" s="35"/>
      <c r="R6" s="38">
        <v>45698.0</v>
      </c>
      <c r="S6" s="25">
        <f>P3*J13</f>
        <v>28000</v>
      </c>
      <c r="T6" s="25">
        <f>P4*O13</f>
        <v>500</v>
      </c>
      <c r="U6" s="25">
        <f t="shared" si="3"/>
        <v>28500</v>
      </c>
      <c r="V6" s="39">
        <f t="shared" ref="V6:V24" si="4">V5+U6</f>
        <v>48500</v>
      </c>
      <c r="X6" s="44" t="s">
        <v>66</v>
      </c>
      <c r="Y6" s="45">
        <f>SUM(U9:U13)</f>
        <v>80500</v>
      </c>
    </row>
    <row r="7">
      <c r="B7" s="25"/>
      <c r="C7" s="25"/>
      <c r="D7" s="14" t="s">
        <v>69</v>
      </c>
      <c r="E7" s="14">
        <v>2.0</v>
      </c>
      <c r="F7" s="17">
        <v>13000.0</v>
      </c>
      <c r="G7" s="25">
        <f t="shared" si="1"/>
        <v>26000</v>
      </c>
      <c r="H7" s="25"/>
      <c r="I7" s="14">
        <f t="shared" si="2"/>
        <v>2</v>
      </c>
      <c r="J7" s="35"/>
      <c r="O7" s="42" t="s">
        <v>63</v>
      </c>
      <c r="P7" s="43">
        <f>SUM(H4:H232)</f>
        <v>0</v>
      </c>
      <c r="R7" s="38">
        <v>45699.0</v>
      </c>
      <c r="S7" s="25">
        <f>P3*J24</f>
        <v>12000</v>
      </c>
      <c r="T7" s="25">
        <f>P4*O24</f>
        <v>1500</v>
      </c>
      <c r="U7" s="25">
        <f t="shared" si="3"/>
        <v>13500</v>
      </c>
      <c r="V7" s="39">
        <f t="shared" si="4"/>
        <v>62000</v>
      </c>
      <c r="X7" s="44" t="s">
        <v>74</v>
      </c>
      <c r="Y7" s="45">
        <f>SUM(U14:U22)</f>
        <v>365000</v>
      </c>
    </row>
    <row r="8">
      <c r="B8" s="25"/>
      <c r="C8" s="25"/>
      <c r="D8" s="14" t="s">
        <v>56</v>
      </c>
      <c r="E8" s="14">
        <v>2.0</v>
      </c>
      <c r="F8" s="17">
        <v>15000.0</v>
      </c>
      <c r="G8" s="25">
        <f t="shared" si="1"/>
        <v>30000</v>
      </c>
      <c r="H8" s="25"/>
      <c r="I8" s="14">
        <f t="shared" si="2"/>
        <v>2</v>
      </c>
      <c r="J8" s="35"/>
      <c r="R8" s="38">
        <v>45700.0</v>
      </c>
      <c r="S8" s="25">
        <f>P3*J30</f>
        <v>9000</v>
      </c>
      <c r="T8" s="25">
        <f>P4*O30</f>
        <v>500</v>
      </c>
      <c r="U8" s="25">
        <f t="shared" si="3"/>
        <v>9500</v>
      </c>
      <c r="V8" s="39">
        <f t="shared" si="4"/>
        <v>71500</v>
      </c>
      <c r="X8" s="44" t="s">
        <v>78</v>
      </c>
      <c r="Y8" s="45">
        <f>sum(U19:U23)</f>
        <v>228000</v>
      </c>
    </row>
    <row r="9">
      <c r="B9" s="9" t="s">
        <v>30</v>
      </c>
      <c r="C9" s="23">
        <v>45697.0</v>
      </c>
      <c r="D9" s="14" t="s">
        <v>77</v>
      </c>
      <c r="E9" s="14">
        <v>2.0</v>
      </c>
      <c r="F9" s="17">
        <v>15000.0</v>
      </c>
      <c r="G9" s="25">
        <f t="shared" si="1"/>
        <v>30000</v>
      </c>
      <c r="H9" s="25"/>
      <c r="I9" s="14">
        <f t="shared" si="2"/>
        <v>2</v>
      </c>
      <c r="J9" s="35"/>
      <c r="R9" s="38">
        <v>45701.0</v>
      </c>
      <c r="S9" s="25">
        <f>P3*J36</f>
        <v>7000</v>
      </c>
      <c r="T9" s="25">
        <f>P4*O36</f>
        <v>1000</v>
      </c>
      <c r="U9" s="25">
        <f t="shared" si="3"/>
        <v>8000</v>
      </c>
      <c r="V9" s="39">
        <f t="shared" si="4"/>
        <v>79500</v>
      </c>
      <c r="X9" s="49">
        <v>45716.0</v>
      </c>
      <c r="Y9" s="51">
        <f>U24</f>
        <v>45000</v>
      </c>
    </row>
    <row r="10">
      <c r="B10" s="25"/>
      <c r="C10" s="25"/>
      <c r="D10" s="14" t="s">
        <v>68</v>
      </c>
      <c r="E10" s="14">
        <v>1.0</v>
      </c>
      <c r="F10" s="17">
        <v>13000.0</v>
      </c>
      <c r="G10" s="25">
        <f t="shared" si="1"/>
        <v>13000</v>
      </c>
      <c r="H10" s="25"/>
      <c r="I10" s="14">
        <f t="shared" si="2"/>
        <v>1</v>
      </c>
      <c r="J10" s="35"/>
      <c r="R10" s="38">
        <v>45702.0</v>
      </c>
      <c r="S10" s="25">
        <f>P3*J39</f>
        <v>14000</v>
      </c>
      <c r="T10" s="25">
        <f>P4*O39</f>
        <v>1000</v>
      </c>
      <c r="U10" s="25">
        <f t="shared" si="3"/>
        <v>15000</v>
      </c>
      <c r="V10" s="39">
        <f t="shared" si="4"/>
        <v>94500</v>
      </c>
    </row>
    <row r="11">
      <c r="B11" s="25"/>
      <c r="C11" s="25"/>
      <c r="D11" s="14" t="s">
        <v>72</v>
      </c>
      <c r="E11" s="14">
        <v>1.0</v>
      </c>
      <c r="F11" s="17">
        <v>13000.0</v>
      </c>
      <c r="G11" s="25">
        <f t="shared" si="1"/>
        <v>13000</v>
      </c>
      <c r="H11" s="25"/>
      <c r="I11" s="14">
        <f t="shared" si="2"/>
        <v>1</v>
      </c>
      <c r="J11" s="35"/>
      <c r="R11" s="38">
        <v>45703.0</v>
      </c>
      <c r="S11" s="25">
        <f>P3*J45</f>
        <v>9000</v>
      </c>
      <c r="T11" s="25">
        <f>P4*O45</f>
        <v>500</v>
      </c>
      <c r="U11" s="25">
        <f t="shared" si="3"/>
        <v>9500</v>
      </c>
      <c r="V11" s="39">
        <f t="shared" si="4"/>
        <v>104000</v>
      </c>
    </row>
    <row r="12">
      <c r="B12" s="25"/>
      <c r="C12" s="25"/>
      <c r="D12" s="14" t="s">
        <v>52</v>
      </c>
      <c r="E12" s="14">
        <v>1.0</v>
      </c>
      <c r="F12" s="17">
        <v>5000.0</v>
      </c>
      <c r="G12" s="25">
        <f t="shared" si="1"/>
        <v>5000</v>
      </c>
      <c r="H12" s="25"/>
      <c r="I12" s="14">
        <f t="shared" si="2"/>
        <v>1</v>
      </c>
      <c r="J12" s="13"/>
      <c r="R12" s="38">
        <v>45704.0</v>
      </c>
      <c r="S12" s="25">
        <f>P3*J52</f>
        <v>37000</v>
      </c>
      <c r="T12" s="25">
        <f>P4*O52</f>
        <v>1500</v>
      </c>
      <c r="U12" s="25">
        <f t="shared" si="3"/>
        <v>38500</v>
      </c>
      <c r="V12" s="39">
        <f t="shared" si="4"/>
        <v>142500</v>
      </c>
    </row>
    <row r="13">
      <c r="B13" s="9" t="s">
        <v>84</v>
      </c>
      <c r="C13" s="23">
        <v>45698.0</v>
      </c>
      <c r="D13" s="14" t="s">
        <v>60</v>
      </c>
      <c r="E13" s="14">
        <v>6.0</v>
      </c>
      <c r="F13" s="17">
        <v>15000.0</v>
      </c>
      <c r="G13" s="14">
        <f t="shared" si="1"/>
        <v>90000</v>
      </c>
      <c r="H13" s="25"/>
      <c r="I13" s="14">
        <f t="shared" si="2"/>
        <v>6</v>
      </c>
      <c r="J13" s="29">
        <f>SUM(E13:E23)</f>
        <v>28</v>
      </c>
      <c r="K13" s="14" t="s">
        <v>88</v>
      </c>
      <c r="L13" s="14">
        <v>1.0</v>
      </c>
      <c r="M13" s="17">
        <v>5000.0</v>
      </c>
      <c r="N13" s="25">
        <f>L13*M13</f>
        <v>5000</v>
      </c>
      <c r="O13" s="14">
        <f>L13</f>
        <v>1</v>
      </c>
      <c r="R13" s="38">
        <v>45705.0</v>
      </c>
      <c r="S13" s="25">
        <f>P3*J69</f>
        <v>9000</v>
      </c>
      <c r="T13" s="25">
        <f>P4*O69</f>
        <v>500</v>
      </c>
      <c r="U13" s="25">
        <f t="shared" si="3"/>
        <v>9500</v>
      </c>
      <c r="V13" s="39">
        <f t="shared" si="4"/>
        <v>152000</v>
      </c>
    </row>
    <row r="14">
      <c r="B14" s="25"/>
      <c r="C14" s="25"/>
      <c r="D14" s="14" t="s">
        <v>76</v>
      </c>
      <c r="E14" s="14">
        <v>5.0</v>
      </c>
      <c r="F14" s="17">
        <v>10000.0</v>
      </c>
      <c r="G14" s="25">
        <f t="shared" si="1"/>
        <v>50000</v>
      </c>
      <c r="H14" s="25"/>
      <c r="I14" s="14">
        <f t="shared" si="2"/>
        <v>5</v>
      </c>
      <c r="J14" s="35"/>
      <c r="R14" s="38">
        <v>45706.0</v>
      </c>
      <c r="S14" s="25">
        <f>P3*J75</f>
        <v>34000</v>
      </c>
      <c r="T14" s="25"/>
      <c r="U14" s="25">
        <f t="shared" si="3"/>
        <v>34000</v>
      </c>
      <c r="V14" s="39">
        <f t="shared" si="4"/>
        <v>186000</v>
      </c>
      <c r="X14" s="46" t="s">
        <v>97</v>
      </c>
      <c r="Y14" s="47">
        <f>sum(Y5:Y9)</f>
        <v>790000</v>
      </c>
    </row>
    <row r="15">
      <c r="B15" s="25"/>
      <c r="C15" s="25"/>
      <c r="D15" s="14" t="s">
        <v>56</v>
      </c>
      <c r="E15" s="14">
        <v>4.0</v>
      </c>
      <c r="F15" s="17">
        <v>15000.0</v>
      </c>
      <c r="G15" s="25">
        <f t="shared" si="1"/>
        <v>60000</v>
      </c>
      <c r="H15" s="25"/>
      <c r="I15" s="14">
        <f t="shared" si="2"/>
        <v>4</v>
      </c>
      <c r="J15" s="35"/>
      <c r="R15" s="38">
        <v>45707.0</v>
      </c>
      <c r="S15" s="25">
        <f>P3*J91</f>
        <v>29000</v>
      </c>
      <c r="T15" s="25"/>
      <c r="U15" s="25">
        <f t="shared" si="3"/>
        <v>29000</v>
      </c>
      <c r="V15" s="39">
        <f t="shared" si="4"/>
        <v>215000</v>
      </c>
    </row>
    <row r="16">
      <c r="B16" s="25"/>
      <c r="C16" s="25"/>
      <c r="D16" s="14" t="s">
        <v>52</v>
      </c>
      <c r="E16" s="14">
        <v>3.0</v>
      </c>
      <c r="F16" s="17">
        <v>5000.0</v>
      </c>
      <c r="G16" s="25">
        <f t="shared" si="1"/>
        <v>15000</v>
      </c>
      <c r="H16" s="25"/>
      <c r="I16" s="14">
        <f t="shared" si="2"/>
        <v>3</v>
      </c>
      <c r="J16" s="35"/>
      <c r="R16" s="38">
        <v>45708.0</v>
      </c>
      <c r="S16" s="25">
        <f>P3*J100</f>
        <v>52000</v>
      </c>
      <c r="T16" s="25"/>
      <c r="U16" s="25">
        <f t="shared" ref="U16:U24" si="5">SUM(S16:T16)</f>
        <v>52000</v>
      </c>
      <c r="V16" s="39">
        <f t="shared" si="4"/>
        <v>267000</v>
      </c>
    </row>
    <row r="17">
      <c r="B17" s="25"/>
      <c r="C17" s="25"/>
      <c r="D17" s="14" t="s">
        <v>77</v>
      </c>
      <c r="E17" s="14">
        <v>2.0</v>
      </c>
      <c r="F17" s="17">
        <v>15000.0</v>
      </c>
      <c r="G17" s="25">
        <f t="shared" si="1"/>
        <v>30000</v>
      </c>
      <c r="H17" s="25"/>
      <c r="I17" s="14">
        <f t="shared" si="2"/>
        <v>2</v>
      </c>
      <c r="J17" s="35"/>
      <c r="R17" s="38">
        <v>45709.0</v>
      </c>
      <c r="S17" s="25">
        <f>P3*J115</f>
        <v>65000</v>
      </c>
      <c r="T17" s="25"/>
      <c r="U17" s="25">
        <f t="shared" si="5"/>
        <v>65000</v>
      </c>
      <c r="V17" s="39">
        <f t="shared" si="4"/>
        <v>332000</v>
      </c>
    </row>
    <row r="18">
      <c r="B18" s="25"/>
      <c r="C18" s="25"/>
      <c r="D18" s="14" t="s">
        <v>17</v>
      </c>
      <c r="E18" s="14">
        <v>2.0</v>
      </c>
      <c r="F18" s="17">
        <v>18000.0</v>
      </c>
      <c r="G18" s="25">
        <f t="shared" si="1"/>
        <v>36000</v>
      </c>
      <c r="H18" s="25"/>
      <c r="I18" s="14">
        <f t="shared" si="2"/>
        <v>2</v>
      </c>
      <c r="J18" s="35"/>
      <c r="R18" s="38">
        <v>45710.0</v>
      </c>
      <c r="S18" s="25">
        <f>P3*J134</f>
        <v>28000</v>
      </c>
      <c r="T18" s="25">
        <f>P4*O134</f>
        <v>500</v>
      </c>
      <c r="U18" s="25">
        <f t="shared" si="5"/>
        <v>28500</v>
      </c>
      <c r="V18" s="39">
        <f t="shared" si="4"/>
        <v>360500</v>
      </c>
    </row>
    <row r="19">
      <c r="B19" s="25"/>
      <c r="C19" s="25"/>
      <c r="D19" s="14" t="s">
        <v>72</v>
      </c>
      <c r="E19" s="14">
        <v>2.0</v>
      </c>
      <c r="F19" s="17">
        <v>13000.0</v>
      </c>
      <c r="G19" s="25">
        <f t="shared" si="1"/>
        <v>26000</v>
      </c>
      <c r="H19" s="25"/>
      <c r="I19" s="14">
        <f t="shared" si="2"/>
        <v>2</v>
      </c>
      <c r="J19" s="35"/>
      <c r="R19" s="38">
        <v>45711.0</v>
      </c>
      <c r="S19" s="25">
        <f>P3*J148</f>
        <v>27000</v>
      </c>
      <c r="T19" s="25"/>
      <c r="U19" s="25">
        <f t="shared" si="5"/>
        <v>27000</v>
      </c>
      <c r="V19" s="39">
        <f t="shared" si="4"/>
        <v>387500</v>
      </c>
    </row>
    <row r="20">
      <c r="B20" s="25"/>
      <c r="C20" s="25"/>
      <c r="D20" s="14" t="s">
        <v>28</v>
      </c>
      <c r="E20" s="14">
        <v>1.0</v>
      </c>
      <c r="F20" s="17">
        <v>15000.0</v>
      </c>
      <c r="G20" s="25">
        <f t="shared" si="1"/>
        <v>15000</v>
      </c>
      <c r="H20" s="25"/>
      <c r="I20" s="14">
        <f t="shared" si="2"/>
        <v>1</v>
      </c>
      <c r="J20" s="35"/>
      <c r="R20" s="38">
        <v>45712.0</v>
      </c>
      <c r="S20" s="25">
        <f>P3*J163</f>
        <v>51000</v>
      </c>
      <c r="T20" s="25">
        <f>P4*O163</f>
        <v>1000</v>
      </c>
      <c r="U20" s="25">
        <f t="shared" si="5"/>
        <v>52000</v>
      </c>
      <c r="V20" s="39">
        <f t="shared" si="4"/>
        <v>439500</v>
      </c>
    </row>
    <row r="21">
      <c r="B21" s="25"/>
      <c r="C21" s="25"/>
      <c r="D21" s="14" t="s">
        <v>53</v>
      </c>
      <c r="E21" s="14">
        <v>1.0</v>
      </c>
      <c r="F21" s="17">
        <v>15000.0</v>
      </c>
      <c r="G21" s="25">
        <f t="shared" si="1"/>
        <v>15000</v>
      </c>
      <c r="H21" s="25"/>
      <c r="I21" s="14">
        <f t="shared" si="2"/>
        <v>1</v>
      </c>
      <c r="J21" s="35"/>
      <c r="R21" s="38">
        <v>45713.0</v>
      </c>
      <c r="S21" s="25">
        <f>P3*J176</f>
        <v>25000</v>
      </c>
      <c r="T21" s="25"/>
      <c r="U21" s="25">
        <f t="shared" si="5"/>
        <v>25000</v>
      </c>
      <c r="V21" s="39">
        <f t="shared" si="4"/>
        <v>464500</v>
      </c>
    </row>
    <row r="22">
      <c r="B22" s="25"/>
      <c r="C22" s="25"/>
      <c r="D22" s="14" t="s">
        <v>101</v>
      </c>
      <c r="E22" s="14">
        <v>1.0</v>
      </c>
      <c r="F22" s="17">
        <v>13000.0</v>
      </c>
      <c r="G22" s="25">
        <f t="shared" si="1"/>
        <v>13000</v>
      </c>
      <c r="H22" s="25"/>
      <c r="I22" s="14">
        <f t="shared" si="2"/>
        <v>1</v>
      </c>
      <c r="J22" s="35"/>
      <c r="R22" s="38">
        <v>45714.0</v>
      </c>
      <c r="S22" s="25">
        <f>P3*J186</f>
        <v>52000</v>
      </c>
      <c r="T22" s="25">
        <f>P4*O186</f>
        <v>500</v>
      </c>
      <c r="U22" s="25">
        <f t="shared" si="5"/>
        <v>52500</v>
      </c>
      <c r="V22" s="39">
        <f t="shared" si="4"/>
        <v>517000</v>
      </c>
    </row>
    <row r="23">
      <c r="B23" s="25"/>
      <c r="C23" s="25"/>
      <c r="D23" s="14" t="s">
        <v>89</v>
      </c>
      <c r="E23" s="14">
        <v>1.0</v>
      </c>
      <c r="F23" s="17">
        <v>15000.0</v>
      </c>
      <c r="G23" s="25">
        <f t="shared" si="1"/>
        <v>15000</v>
      </c>
      <c r="H23" s="25"/>
      <c r="I23" s="14">
        <f t="shared" si="2"/>
        <v>1</v>
      </c>
      <c r="J23" s="13"/>
      <c r="R23" s="38">
        <v>45715.0</v>
      </c>
      <c r="S23" s="25">
        <f>P3*J202</f>
        <v>71000</v>
      </c>
      <c r="T23" s="25">
        <f>P4*O202</f>
        <v>500</v>
      </c>
      <c r="U23" s="25">
        <f t="shared" si="5"/>
        <v>71500</v>
      </c>
      <c r="V23" s="39">
        <f t="shared" si="4"/>
        <v>588500</v>
      </c>
    </row>
    <row r="24">
      <c r="B24" s="9" t="s">
        <v>117</v>
      </c>
      <c r="C24" s="23">
        <v>45699.0</v>
      </c>
      <c r="D24" s="14" t="s">
        <v>17</v>
      </c>
      <c r="E24" s="14">
        <v>4.0</v>
      </c>
      <c r="F24" s="17">
        <v>18000.0</v>
      </c>
      <c r="G24" s="25">
        <f t="shared" si="1"/>
        <v>72000</v>
      </c>
      <c r="H24" s="25"/>
      <c r="I24" s="14">
        <f t="shared" si="2"/>
        <v>4</v>
      </c>
      <c r="J24" s="29">
        <f>SUM(I24:I29)</f>
        <v>12</v>
      </c>
      <c r="K24" s="14" t="s">
        <v>88</v>
      </c>
      <c r="L24" s="14">
        <v>3.0</v>
      </c>
      <c r="M24" s="17">
        <v>5000.0</v>
      </c>
      <c r="N24" s="25">
        <f>L24*M24</f>
        <v>15000</v>
      </c>
      <c r="O24" s="14">
        <f>L24</f>
        <v>3</v>
      </c>
      <c r="R24" s="38">
        <v>45716.0</v>
      </c>
      <c r="S24" s="25">
        <f>P3*J219</f>
        <v>45000</v>
      </c>
      <c r="T24" s="25"/>
      <c r="U24" s="25">
        <f t="shared" si="5"/>
        <v>45000</v>
      </c>
      <c r="V24" s="39">
        <f t="shared" si="4"/>
        <v>633500</v>
      </c>
    </row>
    <row r="25">
      <c r="B25" s="33"/>
      <c r="C25" s="25"/>
      <c r="D25" s="14" t="s">
        <v>60</v>
      </c>
      <c r="E25" s="14">
        <v>3.0</v>
      </c>
      <c r="F25" s="17">
        <v>15000.0</v>
      </c>
      <c r="G25" s="25">
        <f t="shared" si="1"/>
        <v>45000</v>
      </c>
      <c r="H25" s="25"/>
      <c r="I25" s="14">
        <f t="shared" si="2"/>
        <v>3</v>
      </c>
      <c r="J25" s="35"/>
    </row>
    <row r="26">
      <c r="B26" s="33"/>
      <c r="C26" s="25"/>
      <c r="D26" s="14" t="s">
        <v>52</v>
      </c>
      <c r="E26" s="14">
        <v>2.0</v>
      </c>
      <c r="F26" s="17">
        <v>5000.0</v>
      </c>
      <c r="G26" s="25">
        <f t="shared" si="1"/>
        <v>10000</v>
      </c>
      <c r="H26" s="25"/>
      <c r="I26" s="14">
        <f t="shared" si="2"/>
        <v>2</v>
      </c>
      <c r="J26" s="35"/>
    </row>
    <row r="27">
      <c r="B27" s="33"/>
      <c r="C27" s="25"/>
      <c r="D27" s="14" t="s">
        <v>72</v>
      </c>
      <c r="E27" s="14">
        <v>1.0</v>
      </c>
      <c r="F27" s="17">
        <v>13000.0</v>
      </c>
      <c r="G27" s="25">
        <f t="shared" si="1"/>
        <v>13000</v>
      </c>
      <c r="H27" s="25"/>
      <c r="I27" s="14">
        <f t="shared" si="2"/>
        <v>1</v>
      </c>
      <c r="J27" s="35"/>
    </row>
    <row r="28">
      <c r="B28" s="33"/>
      <c r="C28" s="25"/>
      <c r="D28" s="14" t="s">
        <v>56</v>
      </c>
      <c r="E28" s="14">
        <v>1.0</v>
      </c>
      <c r="F28" s="17">
        <v>15000.0</v>
      </c>
      <c r="G28" s="25">
        <f t="shared" si="1"/>
        <v>15000</v>
      </c>
      <c r="H28" s="25"/>
      <c r="I28" s="14">
        <f t="shared" si="2"/>
        <v>1</v>
      </c>
      <c r="J28" s="35"/>
    </row>
    <row r="29">
      <c r="B29" s="33"/>
      <c r="C29" s="25"/>
      <c r="D29" s="14" t="s">
        <v>69</v>
      </c>
      <c r="E29" s="14">
        <v>1.0</v>
      </c>
      <c r="F29" s="17">
        <v>13000.0</v>
      </c>
      <c r="G29" s="25">
        <f t="shared" si="1"/>
        <v>13000</v>
      </c>
      <c r="H29" s="25"/>
      <c r="I29" s="14">
        <f t="shared" si="2"/>
        <v>1</v>
      </c>
      <c r="J29" s="13"/>
    </row>
    <row r="30">
      <c r="B30" s="9" t="s">
        <v>43</v>
      </c>
      <c r="C30" s="23">
        <v>45700.0</v>
      </c>
      <c r="D30" s="14" t="s">
        <v>118</v>
      </c>
      <c r="E30" s="14">
        <v>2.0</v>
      </c>
      <c r="F30" s="17">
        <v>15000.0</v>
      </c>
      <c r="G30" s="17">
        <f t="shared" si="1"/>
        <v>30000</v>
      </c>
      <c r="H30" s="25"/>
      <c r="I30" s="14">
        <f t="shared" si="2"/>
        <v>2</v>
      </c>
      <c r="J30" s="29">
        <f>SUM(I30:I35)</f>
        <v>9</v>
      </c>
      <c r="K30" s="14" t="s">
        <v>119</v>
      </c>
      <c r="L30" s="14">
        <v>1.0</v>
      </c>
      <c r="M30" s="17">
        <v>8000.0</v>
      </c>
      <c r="N30" s="17">
        <f>M30*L30</f>
        <v>8000</v>
      </c>
      <c r="O30" s="14">
        <f>L30</f>
        <v>1</v>
      </c>
    </row>
    <row r="31">
      <c r="B31" s="33"/>
      <c r="C31" s="25"/>
      <c r="D31" s="14" t="s">
        <v>121</v>
      </c>
      <c r="E31" s="14">
        <v>2.0</v>
      </c>
      <c r="F31" s="17">
        <v>18000.0</v>
      </c>
      <c r="G31" s="17">
        <f t="shared" si="1"/>
        <v>36000</v>
      </c>
      <c r="H31" s="25"/>
      <c r="I31" s="14">
        <f t="shared" si="2"/>
        <v>2</v>
      </c>
      <c r="J31" s="35"/>
    </row>
    <row r="32">
      <c r="B32" s="33"/>
      <c r="C32" s="25"/>
      <c r="D32" s="14" t="s">
        <v>52</v>
      </c>
      <c r="E32" s="14">
        <v>2.0</v>
      </c>
      <c r="F32" s="17">
        <v>5000.0</v>
      </c>
      <c r="G32" s="17">
        <f t="shared" si="1"/>
        <v>10000</v>
      </c>
      <c r="H32" s="25"/>
      <c r="I32" s="14">
        <f t="shared" si="2"/>
        <v>2</v>
      </c>
      <c r="J32" s="35"/>
    </row>
    <row r="33">
      <c r="B33" s="33"/>
      <c r="C33" s="33"/>
      <c r="D33" s="14" t="s">
        <v>56</v>
      </c>
      <c r="E33" s="14">
        <v>1.0</v>
      </c>
      <c r="F33" s="17">
        <v>15000.0</v>
      </c>
      <c r="G33" s="17">
        <f t="shared" si="1"/>
        <v>15000</v>
      </c>
      <c r="H33" s="25"/>
      <c r="I33" s="14">
        <f t="shared" si="2"/>
        <v>1</v>
      </c>
      <c r="J33" s="35"/>
    </row>
    <row r="34">
      <c r="B34" s="33"/>
      <c r="C34" s="33"/>
      <c r="D34" s="48" t="s">
        <v>92</v>
      </c>
      <c r="E34" s="14">
        <v>1.0</v>
      </c>
      <c r="F34" s="17">
        <v>18000.0</v>
      </c>
      <c r="G34" s="17">
        <f t="shared" si="1"/>
        <v>18000</v>
      </c>
      <c r="H34" s="25"/>
      <c r="I34" s="14">
        <f t="shared" si="2"/>
        <v>1</v>
      </c>
      <c r="J34" s="35"/>
    </row>
    <row r="35">
      <c r="B35" s="33"/>
      <c r="C35" s="33"/>
      <c r="D35" s="14" t="s">
        <v>89</v>
      </c>
      <c r="E35" s="14">
        <v>1.0</v>
      </c>
      <c r="F35" s="17">
        <v>15000.0</v>
      </c>
      <c r="G35" s="17">
        <f t="shared" si="1"/>
        <v>15000</v>
      </c>
      <c r="H35" s="25"/>
      <c r="I35" s="14">
        <f t="shared" si="2"/>
        <v>1</v>
      </c>
      <c r="J35" s="13"/>
    </row>
    <row r="36">
      <c r="B36" s="9" t="s">
        <v>47</v>
      </c>
      <c r="C36" s="23">
        <v>45701.0</v>
      </c>
      <c r="D36" s="14" t="s">
        <v>121</v>
      </c>
      <c r="E36" s="14">
        <v>4.0</v>
      </c>
      <c r="F36" s="17">
        <v>18000.0</v>
      </c>
      <c r="G36" s="17">
        <f t="shared" si="1"/>
        <v>72000</v>
      </c>
      <c r="H36" s="25"/>
      <c r="I36" s="14">
        <f t="shared" si="2"/>
        <v>4</v>
      </c>
      <c r="J36" s="67">
        <f>SUM(I36:I38)</f>
        <v>7</v>
      </c>
      <c r="K36" s="14" t="s">
        <v>123</v>
      </c>
      <c r="L36" s="14">
        <v>2.0</v>
      </c>
      <c r="M36" s="17">
        <v>5000.0</v>
      </c>
      <c r="N36" s="17">
        <f>M36*L36</f>
        <v>10000</v>
      </c>
      <c r="O36" s="14">
        <f>L36</f>
        <v>2</v>
      </c>
    </row>
    <row r="37">
      <c r="B37" s="33"/>
      <c r="C37" s="33"/>
      <c r="D37" s="14" t="s">
        <v>89</v>
      </c>
      <c r="E37" s="14">
        <v>2.0</v>
      </c>
      <c r="F37" s="17">
        <v>15000.0</v>
      </c>
      <c r="G37" s="17">
        <f t="shared" si="1"/>
        <v>30000</v>
      </c>
      <c r="H37" s="25"/>
      <c r="I37" s="14">
        <f t="shared" si="2"/>
        <v>2</v>
      </c>
      <c r="J37" s="35"/>
    </row>
    <row r="38">
      <c r="B38" s="33"/>
      <c r="C38" s="33"/>
      <c r="D38" s="14" t="s">
        <v>52</v>
      </c>
      <c r="E38" s="14">
        <v>1.0</v>
      </c>
      <c r="F38" s="14">
        <v>5000.0</v>
      </c>
      <c r="G38" s="14">
        <f t="shared" si="1"/>
        <v>5000</v>
      </c>
      <c r="H38" s="25"/>
      <c r="I38" s="14">
        <f t="shared" si="2"/>
        <v>1</v>
      </c>
      <c r="J38" s="35"/>
    </row>
    <row r="39">
      <c r="B39" s="9" t="s">
        <v>122</v>
      </c>
      <c r="C39" s="23">
        <v>45702.0</v>
      </c>
      <c r="D39" s="14" t="s">
        <v>17</v>
      </c>
      <c r="E39" s="14">
        <v>4.0</v>
      </c>
      <c r="F39" s="17">
        <v>18000.0</v>
      </c>
      <c r="G39" s="17">
        <f t="shared" si="1"/>
        <v>72000</v>
      </c>
      <c r="H39" s="25"/>
      <c r="I39" s="14">
        <f t="shared" si="2"/>
        <v>4</v>
      </c>
      <c r="J39" s="67">
        <f>SUM(I39:I44)</f>
        <v>14</v>
      </c>
      <c r="K39" s="14" t="s">
        <v>123</v>
      </c>
      <c r="L39" s="14">
        <v>2.0</v>
      </c>
      <c r="M39" s="17">
        <v>5000.0</v>
      </c>
      <c r="N39" s="17">
        <f>M39*L39</f>
        <v>10000</v>
      </c>
      <c r="O39" s="14">
        <f>L39</f>
        <v>2</v>
      </c>
    </row>
    <row r="40">
      <c r="B40" s="33"/>
      <c r="C40" s="33"/>
      <c r="D40" s="14" t="s">
        <v>71</v>
      </c>
      <c r="E40" s="14">
        <v>3.0</v>
      </c>
      <c r="F40" s="17">
        <v>12000.0</v>
      </c>
      <c r="G40" s="17">
        <f t="shared" si="1"/>
        <v>36000</v>
      </c>
      <c r="H40" s="25"/>
      <c r="I40" s="14">
        <f t="shared" si="2"/>
        <v>3</v>
      </c>
      <c r="J40" s="35"/>
    </row>
    <row r="41">
      <c r="B41" s="33"/>
      <c r="C41" s="33"/>
      <c r="D41" s="14" t="s">
        <v>101</v>
      </c>
      <c r="E41" s="14">
        <v>2.0</v>
      </c>
      <c r="F41" s="17">
        <v>13000.0</v>
      </c>
      <c r="G41" s="17">
        <f t="shared" si="1"/>
        <v>26000</v>
      </c>
      <c r="H41" s="25"/>
      <c r="I41" s="14">
        <f t="shared" si="2"/>
        <v>2</v>
      </c>
      <c r="J41" s="35"/>
    </row>
    <row r="42">
      <c r="B42" s="33"/>
      <c r="C42" s="33"/>
      <c r="D42" s="14" t="s">
        <v>65</v>
      </c>
      <c r="E42" s="14">
        <v>2.0</v>
      </c>
      <c r="F42" s="17">
        <v>13000.0</v>
      </c>
      <c r="G42" s="17">
        <f t="shared" si="1"/>
        <v>26000</v>
      </c>
      <c r="H42" s="25"/>
      <c r="I42" s="14">
        <f t="shared" si="2"/>
        <v>2</v>
      </c>
      <c r="J42" s="35"/>
    </row>
    <row r="43">
      <c r="B43" s="33"/>
      <c r="C43" s="33"/>
      <c r="D43" s="14" t="s">
        <v>56</v>
      </c>
      <c r="E43" s="14">
        <v>2.0</v>
      </c>
      <c r="F43" s="17">
        <v>15000.0</v>
      </c>
      <c r="G43" s="17">
        <f t="shared" si="1"/>
        <v>30000</v>
      </c>
      <c r="H43" s="25"/>
      <c r="I43" s="14">
        <f t="shared" si="2"/>
        <v>2</v>
      </c>
      <c r="J43" s="35"/>
    </row>
    <row r="44">
      <c r="B44" s="33"/>
      <c r="C44" s="33"/>
      <c r="D44" s="14" t="s">
        <v>69</v>
      </c>
      <c r="E44" s="14">
        <v>1.0</v>
      </c>
      <c r="F44" s="17">
        <v>13000.0</v>
      </c>
      <c r="G44" s="17">
        <f t="shared" si="1"/>
        <v>13000</v>
      </c>
      <c r="H44" s="25"/>
      <c r="I44" s="14">
        <f t="shared" si="2"/>
        <v>1</v>
      </c>
      <c r="J44" s="13"/>
    </row>
    <row r="45">
      <c r="B45" s="9" t="s">
        <v>124</v>
      </c>
      <c r="C45" s="23">
        <v>45703.0</v>
      </c>
      <c r="D45" s="14" t="s">
        <v>101</v>
      </c>
      <c r="E45" s="14">
        <v>3.0</v>
      </c>
      <c r="F45" s="17">
        <v>13000.0</v>
      </c>
      <c r="G45" s="25">
        <f t="shared" si="1"/>
        <v>39000</v>
      </c>
      <c r="H45" s="25"/>
      <c r="I45" s="14">
        <f t="shared" si="2"/>
        <v>3</v>
      </c>
      <c r="J45" s="68">
        <f>SUM(E45:E51)</f>
        <v>9</v>
      </c>
      <c r="K45" s="14" t="s">
        <v>88</v>
      </c>
      <c r="L45" s="14">
        <v>1.0</v>
      </c>
      <c r="M45" s="17">
        <v>5000.0</v>
      </c>
      <c r="N45" s="25">
        <f>M45*L45</f>
        <v>5000</v>
      </c>
      <c r="O45" s="25">
        <f>L45</f>
        <v>1</v>
      </c>
    </row>
    <row r="46">
      <c r="B46" s="33"/>
      <c r="C46" s="33"/>
      <c r="D46" s="14" t="s">
        <v>69</v>
      </c>
      <c r="E46" s="14">
        <v>1.0</v>
      </c>
      <c r="F46" s="17">
        <v>13000.0</v>
      </c>
      <c r="G46" s="25">
        <f t="shared" si="1"/>
        <v>13000</v>
      </c>
      <c r="H46" s="25"/>
      <c r="I46" s="14">
        <f t="shared" si="2"/>
        <v>1</v>
      </c>
      <c r="J46" s="35"/>
      <c r="K46" s="62"/>
      <c r="L46" s="62"/>
      <c r="M46" s="62"/>
      <c r="N46" s="62"/>
      <c r="O46" s="62"/>
    </row>
    <row r="47">
      <c r="B47" s="33"/>
      <c r="C47" s="33"/>
      <c r="D47" s="14" t="s">
        <v>52</v>
      </c>
      <c r="E47" s="14">
        <v>1.0</v>
      </c>
      <c r="F47" s="17">
        <v>5000.0</v>
      </c>
      <c r="G47" s="25">
        <f t="shared" si="1"/>
        <v>5000</v>
      </c>
      <c r="H47" s="25"/>
      <c r="I47" s="14">
        <f t="shared" si="2"/>
        <v>1</v>
      </c>
      <c r="J47" s="35"/>
      <c r="K47" s="62"/>
      <c r="L47" s="62"/>
      <c r="M47" s="62"/>
      <c r="N47" s="62"/>
      <c r="O47" s="62"/>
    </row>
    <row r="48">
      <c r="B48" s="33"/>
      <c r="C48" s="33"/>
      <c r="D48" s="14" t="s">
        <v>128</v>
      </c>
      <c r="E48" s="14">
        <v>1.0</v>
      </c>
      <c r="F48" s="17">
        <v>18000.0</v>
      </c>
      <c r="G48" s="25">
        <f t="shared" si="1"/>
        <v>18000</v>
      </c>
      <c r="H48" s="25"/>
      <c r="I48" s="14">
        <f t="shared" si="2"/>
        <v>1</v>
      </c>
      <c r="J48" s="35"/>
      <c r="K48" s="62"/>
      <c r="L48" s="62"/>
      <c r="M48" s="62"/>
      <c r="N48" s="62"/>
      <c r="O48" s="62"/>
    </row>
    <row r="49">
      <c r="B49" s="33"/>
      <c r="C49" s="33"/>
      <c r="D49" s="14" t="s">
        <v>60</v>
      </c>
      <c r="E49" s="14">
        <v>1.0</v>
      </c>
      <c r="F49" s="17">
        <v>15000.0</v>
      </c>
      <c r="G49" s="25">
        <f t="shared" si="1"/>
        <v>15000</v>
      </c>
      <c r="H49" s="25"/>
      <c r="I49" s="14">
        <f t="shared" si="2"/>
        <v>1</v>
      </c>
      <c r="J49" s="35"/>
      <c r="K49" s="62"/>
      <c r="L49" s="62"/>
      <c r="M49" s="62"/>
      <c r="N49" s="62"/>
      <c r="O49" s="62"/>
    </row>
    <row r="50">
      <c r="B50" s="33"/>
      <c r="C50" s="33"/>
      <c r="D50" s="14" t="s">
        <v>89</v>
      </c>
      <c r="E50" s="14">
        <v>1.0</v>
      </c>
      <c r="F50" s="17">
        <v>15000.0</v>
      </c>
      <c r="G50" s="25">
        <f t="shared" si="1"/>
        <v>15000</v>
      </c>
      <c r="H50" s="25"/>
      <c r="I50" s="14">
        <f t="shared" si="2"/>
        <v>1</v>
      </c>
      <c r="J50" s="35"/>
      <c r="K50" s="62"/>
      <c r="L50" s="62"/>
      <c r="M50" s="62"/>
      <c r="N50" s="62"/>
      <c r="O50" s="62"/>
    </row>
    <row r="51">
      <c r="B51" s="33"/>
      <c r="C51" s="33"/>
      <c r="D51" s="14" t="s">
        <v>17</v>
      </c>
      <c r="E51" s="14">
        <v>1.0</v>
      </c>
      <c r="F51" s="17">
        <v>18000.0</v>
      </c>
      <c r="G51" s="25">
        <f t="shared" si="1"/>
        <v>18000</v>
      </c>
      <c r="H51" s="25"/>
      <c r="I51" s="14">
        <f t="shared" si="2"/>
        <v>1</v>
      </c>
      <c r="J51" s="13"/>
      <c r="K51" s="62"/>
      <c r="L51" s="62"/>
      <c r="M51" s="62"/>
      <c r="N51" s="62"/>
      <c r="O51" s="62"/>
    </row>
    <row r="52">
      <c r="B52" s="9" t="s">
        <v>126</v>
      </c>
      <c r="C52" s="23">
        <v>45704.0</v>
      </c>
      <c r="D52" s="14" t="s">
        <v>17</v>
      </c>
      <c r="E52" s="14">
        <v>7.0</v>
      </c>
      <c r="F52" s="17">
        <v>18000.0</v>
      </c>
      <c r="G52" s="25">
        <f t="shared" si="1"/>
        <v>126000</v>
      </c>
      <c r="H52" s="25"/>
      <c r="I52" s="14">
        <f t="shared" si="2"/>
        <v>7</v>
      </c>
      <c r="J52" s="29">
        <f>sum(E52:E68)</f>
        <v>37</v>
      </c>
      <c r="K52" s="70" t="s">
        <v>88</v>
      </c>
      <c r="L52" s="71">
        <v>2.0</v>
      </c>
      <c r="M52" s="72">
        <v>5000.0</v>
      </c>
      <c r="N52" s="73">
        <f t="shared" ref="N52:N53" si="6">M52*L52</f>
        <v>10000</v>
      </c>
      <c r="O52" s="74">
        <f>sum(L52:L53)</f>
        <v>3</v>
      </c>
    </row>
    <row r="53">
      <c r="B53" s="33"/>
      <c r="C53" s="25"/>
      <c r="D53" s="14" t="s">
        <v>60</v>
      </c>
      <c r="E53" s="14">
        <v>6.0</v>
      </c>
      <c r="F53" s="17">
        <v>15000.0</v>
      </c>
      <c r="G53" s="25">
        <f t="shared" si="1"/>
        <v>90000</v>
      </c>
      <c r="H53" s="25"/>
      <c r="I53" s="14">
        <f t="shared" si="2"/>
        <v>6</v>
      </c>
      <c r="J53" s="35"/>
      <c r="K53" s="14" t="s">
        <v>119</v>
      </c>
      <c r="L53" s="14">
        <v>1.0</v>
      </c>
      <c r="M53" s="17">
        <v>8000.0</v>
      </c>
      <c r="N53" s="17">
        <f t="shared" si="6"/>
        <v>8000</v>
      </c>
      <c r="O53" s="13"/>
    </row>
    <row r="54">
      <c r="B54" s="33"/>
      <c r="C54" s="25"/>
      <c r="D54" s="14" t="s">
        <v>59</v>
      </c>
      <c r="E54" s="14">
        <v>4.0</v>
      </c>
      <c r="F54" s="17">
        <v>10000.0</v>
      </c>
      <c r="G54" s="25">
        <f t="shared" si="1"/>
        <v>40000</v>
      </c>
      <c r="H54" s="25"/>
      <c r="I54" s="14">
        <f t="shared" si="2"/>
        <v>4</v>
      </c>
      <c r="J54" s="35"/>
    </row>
    <row r="55">
      <c r="B55" s="33"/>
      <c r="C55" s="25"/>
      <c r="D55" s="14" t="s">
        <v>89</v>
      </c>
      <c r="E55" s="14">
        <v>3.0</v>
      </c>
      <c r="F55" s="17">
        <v>15000.0</v>
      </c>
      <c r="G55" s="25">
        <f t="shared" si="1"/>
        <v>45000</v>
      </c>
      <c r="H55" s="25"/>
      <c r="I55" s="14">
        <f t="shared" si="2"/>
        <v>3</v>
      </c>
      <c r="J55" s="35"/>
    </row>
    <row r="56">
      <c r="B56" s="33"/>
      <c r="C56" s="25"/>
      <c r="D56" s="14" t="s">
        <v>52</v>
      </c>
      <c r="E56" s="14">
        <v>3.0</v>
      </c>
      <c r="F56" s="17">
        <v>5000.0</v>
      </c>
      <c r="G56" s="25">
        <f t="shared" si="1"/>
        <v>15000</v>
      </c>
      <c r="H56" s="25"/>
      <c r="I56" s="14">
        <f t="shared" si="2"/>
        <v>3</v>
      </c>
      <c r="J56" s="35"/>
    </row>
    <row r="57">
      <c r="B57" s="33"/>
      <c r="C57" s="25"/>
      <c r="D57" s="14" t="s">
        <v>128</v>
      </c>
      <c r="E57" s="14">
        <v>2.0</v>
      </c>
      <c r="F57" s="17">
        <v>18000.0</v>
      </c>
      <c r="G57" s="25">
        <f t="shared" si="1"/>
        <v>36000</v>
      </c>
      <c r="H57" s="25"/>
      <c r="I57" s="14">
        <f t="shared" si="2"/>
        <v>2</v>
      </c>
      <c r="J57" s="35"/>
    </row>
    <row r="58">
      <c r="B58" s="33"/>
      <c r="C58" s="25"/>
      <c r="D58" s="14" t="s">
        <v>56</v>
      </c>
      <c r="E58" s="14">
        <v>2.0</v>
      </c>
      <c r="F58" s="17">
        <v>15000.0</v>
      </c>
      <c r="G58" s="25">
        <f t="shared" si="1"/>
        <v>30000</v>
      </c>
      <c r="H58" s="25"/>
      <c r="I58" s="14">
        <f t="shared" si="2"/>
        <v>2</v>
      </c>
      <c r="J58" s="35"/>
    </row>
    <row r="59">
      <c r="B59" s="33"/>
      <c r="C59" s="25"/>
      <c r="D59" s="14" t="s">
        <v>107</v>
      </c>
      <c r="E59" s="14">
        <v>1.0</v>
      </c>
      <c r="F59" s="17">
        <v>18000.0</v>
      </c>
      <c r="G59" s="25">
        <f t="shared" si="1"/>
        <v>18000</v>
      </c>
      <c r="H59" s="25"/>
      <c r="I59" s="14">
        <f t="shared" si="2"/>
        <v>1</v>
      </c>
      <c r="J59" s="35"/>
    </row>
    <row r="60">
      <c r="B60" s="33"/>
      <c r="C60" s="25"/>
      <c r="D60" s="14" t="s">
        <v>76</v>
      </c>
      <c r="E60" s="14">
        <v>1.0</v>
      </c>
      <c r="F60" s="17">
        <v>10000.0</v>
      </c>
      <c r="G60" s="25">
        <f t="shared" si="1"/>
        <v>10000</v>
      </c>
      <c r="H60" s="25"/>
      <c r="I60" s="14">
        <f t="shared" si="2"/>
        <v>1</v>
      </c>
      <c r="J60" s="35"/>
    </row>
    <row r="61">
      <c r="B61" s="33"/>
      <c r="C61" s="25"/>
      <c r="D61" s="14" t="s">
        <v>77</v>
      </c>
      <c r="E61" s="14">
        <v>1.0</v>
      </c>
      <c r="F61" s="17">
        <v>15000.0</v>
      </c>
      <c r="G61" s="25">
        <f t="shared" si="1"/>
        <v>15000</v>
      </c>
      <c r="H61" s="25"/>
      <c r="I61" s="14">
        <f t="shared" si="2"/>
        <v>1</v>
      </c>
      <c r="J61" s="35"/>
    </row>
    <row r="62">
      <c r="B62" s="33"/>
      <c r="C62" s="25"/>
      <c r="D62" s="14" t="s">
        <v>53</v>
      </c>
      <c r="E62" s="14">
        <v>1.0</v>
      </c>
      <c r="F62" s="17">
        <v>15000.0</v>
      </c>
      <c r="G62" s="25">
        <f t="shared" si="1"/>
        <v>15000</v>
      </c>
      <c r="H62" s="25"/>
      <c r="I62" s="14">
        <f t="shared" si="2"/>
        <v>1</v>
      </c>
      <c r="J62" s="35"/>
    </row>
    <row r="63">
      <c r="B63" s="33"/>
      <c r="C63" s="25"/>
      <c r="D63" s="14" t="s">
        <v>65</v>
      </c>
      <c r="E63" s="14">
        <v>1.0</v>
      </c>
      <c r="F63" s="17">
        <v>13000.0</v>
      </c>
      <c r="G63" s="25">
        <f t="shared" si="1"/>
        <v>13000</v>
      </c>
      <c r="H63" s="25"/>
      <c r="I63" s="14">
        <f t="shared" si="2"/>
        <v>1</v>
      </c>
      <c r="J63" s="35"/>
    </row>
    <row r="64">
      <c r="B64" s="33"/>
      <c r="C64" s="25"/>
      <c r="D64" s="14" t="s">
        <v>71</v>
      </c>
      <c r="E64" s="14">
        <v>1.0</v>
      </c>
      <c r="F64" s="17">
        <v>12000.0</v>
      </c>
      <c r="G64" s="25">
        <f t="shared" si="1"/>
        <v>12000</v>
      </c>
      <c r="H64" s="25"/>
      <c r="I64" s="14">
        <f t="shared" si="2"/>
        <v>1</v>
      </c>
      <c r="J64" s="35"/>
    </row>
    <row r="65">
      <c r="B65" s="33"/>
      <c r="C65" s="25"/>
      <c r="D65" s="14" t="s">
        <v>72</v>
      </c>
      <c r="E65" s="14">
        <v>1.0</v>
      </c>
      <c r="F65" s="17">
        <v>13000.0</v>
      </c>
      <c r="G65" s="25">
        <f t="shared" si="1"/>
        <v>13000</v>
      </c>
      <c r="H65" s="25"/>
      <c r="I65" s="14">
        <f t="shared" si="2"/>
        <v>1</v>
      </c>
      <c r="J65" s="35"/>
    </row>
    <row r="66">
      <c r="B66" s="33"/>
      <c r="C66" s="25"/>
      <c r="D66" s="14" t="s">
        <v>125</v>
      </c>
      <c r="E66" s="14">
        <v>1.0</v>
      </c>
      <c r="F66" s="17">
        <v>18000.0</v>
      </c>
      <c r="G66" s="25">
        <f t="shared" si="1"/>
        <v>18000</v>
      </c>
      <c r="H66" s="25"/>
      <c r="I66" s="14">
        <f t="shared" si="2"/>
        <v>1</v>
      </c>
      <c r="J66" s="35"/>
    </row>
    <row r="67">
      <c r="B67" s="33"/>
      <c r="C67" s="25"/>
      <c r="D67" s="14" t="s">
        <v>101</v>
      </c>
      <c r="E67" s="14">
        <v>1.0</v>
      </c>
      <c r="F67" s="17">
        <v>13000.0</v>
      </c>
      <c r="G67" s="25">
        <f t="shared" si="1"/>
        <v>13000</v>
      </c>
      <c r="H67" s="25"/>
      <c r="I67" s="14">
        <f t="shared" si="2"/>
        <v>1</v>
      </c>
      <c r="J67" s="35"/>
    </row>
    <row r="68">
      <c r="B68" s="33"/>
      <c r="C68" s="25"/>
      <c r="D68" s="14" t="s">
        <v>68</v>
      </c>
      <c r="E68" s="14">
        <v>1.0</v>
      </c>
      <c r="F68" s="17">
        <v>13000.0</v>
      </c>
      <c r="G68" s="25">
        <f t="shared" si="1"/>
        <v>13000</v>
      </c>
      <c r="H68" s="25"/>
      <c r="I68" s="14">
        <f t="shared" si="2"/>
        <v>1</v>
      </c>
      <c r="J68" s="13"/>
    </row>
    <row r="69">
      <c r="B69" s="9" t="s">
        <v>127</v>
      </c>
      <c r="C69" s="23">
        <v>45705.0</v>
      </c>
      <c r="D69" s="14" t="s">
        <v>56</v>
      </c>
      <c r="E69" s="14">
        <v>3.0</v>
      </c>
      <c r="F69" s="17">
        <v>15000.0</v>
      </c>
      <c r="G69" s="25">
        <f t="shared" si="1"/>
        <v>45000</v>
      </c>
      <c r="H69" s="25"/>
      <c r="I69" s="14">
        <f t="shared" si="2"/>
        <v>3</v>
      </c>
      <c r="J69" s="29">
        <f>SUM(I69:I74)</f>
        <v>9</v>
      </c>
      <c r="K69" s="70" t="s">
        <v>88</v>
      </c>
      <c r="L69" s="71">
        <v>1.0</v>
      </c>
      <c r="M69" s="72">
        <v>5000.0</v>
      </c>
      <c r="N69" s="73">
        <f>M69*L69</f>
        <v>5000</v>
      </c>
      <c r="O69" s="14">
        <f>L69</f>
        <v>1</v>
      </c>
    </row>
    <row r="70">
      <c r="B70" s="33"/>
      <c r="C70" s="25"/>
      <c r="D70" s="14" t="s">
        <v>17</v>
      </c>
      <c r="E70" s="14">
        <v>2.0</v>
      </c>
      <c r="F70" s="17">
        <v>18000.0</v>
      </c>
      <c r="G70" s="25">
        <f t="shared" si="1"/>
        <v>36000</v>
      </c>
      <c r="H70" s="25"/>
      <c r="I70" s="14">
        <f t="shared" si="2"/>
        <v>2</v>
      </c>
      <c r="J70" s="35"/>
    </row>
    <row r="71">
      <c r="B71" s="33"/>
      <c r="C71" s="25"/>
      <c r="D71" s="14" t="s">
        <v>107</v>
      </c>
      <c r="E71" s="14">
        <v>1.0</v>
      </c>
      <c r="F71" s="17">
        <v>18000.0</v>
      </c>
      <c r="G71" s="25">
        <f t="shared" si="1"/>
        <v>18000</v>
      </c>
      <c r="H71" s="25"/>
      <c r="I71" s="14">
        <f t="shared" si="2"/>
        <v>1</v>
      </c>
      <c r="J71" s="35"/>
    </row>
    <row r="72">
      <c r="B72" s="33"/>
      <c r="C72" s="25"/>
      <c r="D72" s="14" t="s">
        <v>72</v>
      </c>
      <c r="E72" s="14">
        <v>1.0</v>
      </c>
      <c r="F72" s="17">
        <v>13000.0</v>
      </c>
      <c r="G72" s="25">
        <f t="shared" si="1"/>
        <v>13000</v>
      </c>
      <c r="H72" s="25"/>
      <c r="I72" s="14">
        <f t="shared" si="2"/>
        <v>1</v>
      </c>
      <c r="J72" s="35"/>
    </row>
    <row r="73">
      <c r="B73" s="33"/>
      <c r="C73" s="25"/>
      <c r="D73" s="14" t="s">
        <v>60</v>
      </c>
      <c r="E73" s="14">
        <v>1.0</v>
      </c>
      <c r="F73" s="17">
        <v>15000.0</v>
      </c>
      <c r="G73" s="25">
        <f t="shared" si="1"/>
        <v>15000</v>
      </c>
      <c r="H73" s="25"/>
      <c r="I73" s="14">
        <f t="shared" si="2"/>
        <v>1</v>
      </c>
      <c r="J73" s="35"/>
    </row>
    <row r="74">
      <c r="B74" s="33"/>
      <c r="C74" s="25"/>
      <c r="D74" s="14" t="s">
        <v>101</v>
      </c>
      <c r="E74" s="14">
        <v>1.0</v>
      </c>
      <c r="F74" s="17">
        <v>13000.0</v>
      </c>
      <c r="G74" s="25">
        <f t="shared" si="1"/>
        <v>13000</v>
      </c>
      <c r="H74" s="25"/>
      <c r="I74" s="14">
        <f t="shared" si="2"/>
        <v>1</v>
      </c>
      <c r="J74" s="13"/>
    </row>
    <row r="75">
      <c r="B75" s="42" t="s">
        <v>129</v>
      </c>
      <c r="C75" s="23">
        <v>45706.0</v>
      </c>
      <c r="D75" s="1" t="s">
        <v>17</v>
      </c>
      <c r="E75" s="14">
        <v>7.0</v>
      </c>
      <c r="F75" s="34">
        <v>18000.0</v>
      </c>
      <c r="G75" s="25">
        <f t="shared" si="1"/>
        <v>126000</v>
      </c>
      <c r="H75" s="25"/>
      <c r="I75" s="14">
        <f t="shared" si="2"/>
        <v>7</v>
      </c>
      <c r="J75" s="29">
        <f>SUM(I75:I90)</f>
        <v>34</v>
      </c>
    </row>
    <row r="76">
      <c r="B76" s="33"/>
      <c r="C76" s="25"/>
      <c r="D76" s="14" t="s">
        <v>60</v>
      </c>
      <c r="E76" s="14">
        <v>4.0</v>
      </c>
      <c r="F76" s="17">
        <v>15000.0</v>
      </c>
      <c r="G76" s="25">
        <f t="shared" si="1"/>
        <v>60000</v>
      </c>
      <c r="H76" s="25"/>
      <c r="I76" s="14">
        <f t="shared" si="2"/>
        <v>4</v>
      </c>
      <c r="J76" s="35"/>
    </row>
    <row r="77">
      <c r="B77" s="33"/>
      <c r="C77" s="25"/>
      <c r="D77" s="14" t="s">
        <v>65</v>
      </c>
      <c r="E77" s="14">
        <v>3.0</v>
      </c>
      <c r="F77" s="17">
        <v>13000.0</v>
      </c>
      <c r="G77" s="25">
        <f t="shared" si="1"/>
        <v>39000</v>
      </c>
      <c r="H77" s="25"/>
      <c r="I77" s="14">
        <f t="shared" si="2"/>
        <v>3</v>
      </c>
      <c r="J77" s="35"/>
    </row>
    <row r="78">
      <c r="B78" s="33"/>
      <c r="C78" s="25"/>
      <c r="D78" s="14" t="s">
        <v>69</v>
      </c>
      <c r="E78" s="14">
        <v>3.0</v>
      </c>
      <c r="F78" s="17">
        <v>13000.0</v>
      </c>
      <c r="G78" s="25">
        <f t="shared" si="1"/>
        <v>39000</v>
      </c>
      <c r="H78" s="25"/>
      <c r="I78" s="14">
        <f t="shared" si="2"/>
        <v>3</v>
      </c>
      <c r="J78" s="35"/>
    </row>
    <row r="79">
      <c r="B79" s="33"/>
      <c r="C79" s="25"/>
      <c r="D79" s="14" t="s">
        <v>77</v>
      </c>
      <c r="E79" s="14">
        <v>3.0</v>
      </c>
      <c r="F79" s="17">
        <v>15000.0</v>
      </c>
      <c r="G79" s="25">
        <f t="shared" si="1"/>
        <v>45000</v>
      </c>
      <c r="H79" s="25"/>
      <c r="I79" s="14">
        <f t="shared" si="2"/>
        <v>3</v>
      </c>
      <c r="J79" s="35"/>
    </row>
    <row r="80">
      <c r="B80" s="33"/>
      <c r="C80" s="25"/>
      <c r="D80" s="14" t="s">
        <v>52</v>
      </c>
      <c r="E80" s="14">
        <v>2.0</v>
      </c>
      <c r="F80" s="17">
        <v>5000.0</v>
      </c>
      <c r="G80" s="25">
        <f t="shared" si="1"/>
        <v>10000</v>
      </c>
      <c r="H80" s="25"/>
      <c r="I80" s="14">
        <f t="shared" si="2"/>
        <v>2</v>
      </c>
      <c r="J80" s="35"/>
    </row>
    <row r="81">
      <c r="B81" s="33"/>
      <c r="C81" s="25"/>
      <c r="D81" s="14" t="s">
        <v>59</v>
      </c>
      <c r="E81" s="14">
        <v>2.0</v>
      </c>
      <c r="F81" s="17">
        <v>10000.0</v>
      </c>
      <c r="G81" s="25">
        <f t="shared" si="1"/>
        <v>20000</v>
      </c>
      <c r="H81" s="25"/>
      <c r="I81" s="14">
        <f t="shared" si="2"/>
        <v>2</v>
      </c>
      <c r="J81" s="35"/>
    </row>
    <row r="82">
      <c r="B82" s="33"/>
      <c r="C82" s="25"/>
      <c r="D82" s="14" t="s">
        <v>28</v>
      </c>
      <c r="E82" s="14">
        <v>2.0</v>
      </c>
      <c r="F82" s="17">
        <v>15000.0</v>
      </c>
      <c r="G82" s="25">
        <f t="shared" si="1"/>
        <v>30000</v>
      </c>
      <c r="H82" s="25"/>
      <c r="I82" s="14">
        <f t="shared" si="2"/>
        <v>2</v>
      </c>
      <c r="J82" s="35"/>
    </row>
    <row r="83">
      <c r="B83" s="33"/>
      <c r="C83" s="25"/>
      <c r="D83" s="14" t="s">
        <v>109</v>
      </c>
      <c r="E83" s="14">
        <v>1.0</v>
      </c>
      <c r="F83" s="17">
        <v>18000.0</v>
      </c>
      <c r="G83" s="25">
        <f t="shared" si="1"/>
        <v>18000</v>
      </c>
      <c r="H83" s="25"/>
      <c r="I83" s="14">
        <f t="shared" si="2"/>
        <v>1</v>
      </c>
      <c r="J83" s="35"/>
    </row>
    <row r="84">
      <c r="B84" s="33"/>
      <c r="C84" s="25"/>
      <c r="D84" s="14" t="s">
        <v>72</v>
      </c>
      <c r="E84" s="14">
        <v>1.0</v>
      </c>
      <c r="F84" s="17">
        <v>13000.0</v>
      </c>
      <c r="G84" s="25">
        <f t="shared" si="1"/>
        <v>13000</v>
      </c>
      <c r="H84" s="25"/>
      <c r="I84" s="14">
        <f t="shared" si="2"/>
        <v>1</v>
      </c>
      <c r="J84" s="35"/>
    </row>
    <row r="85">
      <c r="B85" s="33"/>
      <c r="C85" s="25"/>
      <c r="D85" s="14" t="s">
        <v>68</v>
      </c>
      <c r="E85" s="14">
        <v>1.0</v>
      </c>
      <c r="F85" s="17">
        <v>13000.0</v>
      </c>
      <c r="G85" s="25">
        <f t="shared" si="1"/>
        <v>13000</v>
      </c>
      <c r="H85" s="25"/>
      <c r="I85" s="14">
        <f t="shared" si="2"/>
        <v>1</v>
      </c>
      <c r="J85" s="35"/>
    </row>
    <row r="86">
      <c r="B86" s="33"/>
      <c r="C86" s="25"/>
      <c r="D86" s="14" t="s">
        <v>107</v>
      </c>
      <c r="E86" s="14">
        <v>1.0</v>
      </c>
      <c r="F86" s="17">
        <v>18000.0</v>
      </c>
      <c r="G86" s="25">
        <f t="shared" si="1"/>
        <v>18000</v>
      </c>
      <c r="H86" s="25"/>
      <c r="I86" s="14">
        <f t="shared" si="2"/>
        <v>1</v>
      </c>
      <c r="J86" s="35"/>
    </row>
    <row r="87">
      <c r="B87" s="33"/>
      <c r="C87" s="25"/>
      <c r="D87" s="14" t="s">
        <v>89</v>
      </c>
      <c r="E87" s="14">
        <v>1.0</v>
      </c>
      <c r="F87" s="17">
        <v>15000.0</v>
      </c>
      <c r="G87" s="25">
        <f t="shared" si="1"/>
        <v>15000</v>
      </c>
      <c r="H87" s="25"/>
      <c r="I87" s="14">
        <f t="shared" si="2"/>
        <v>1</v>
      </c>
      <c r="J87" s="35"/>
    </row>
    <row r="88">
      <c r="B88" s="33"/>
      <c r="C88" s="25"/>
      <c r="D88" s="14" t="s">
        <v>128</v>
      </c>
      <c r="E88" s="14">
        <v>1.0</v>
      </c>
      <c r="F88" s="17">
        <v>18000.0</v>
      </c>
      <c r="G88" s="25">
        <f t="shared" si="1"/>
        <v>18000</v>
      </c>
      <c r="H88" s="25"/>
      <c r="I88" s="14">
        <f t="shared" si="2"/>
        <v>1</v>
      </c>
      <c r="J88" s="35"/>
    </row>
    <row r="89">
      <c r="B89" s="33"/>
      <c r="C89" s="25"/>
      <c r="D89" s="14" t="s">
        <v>76</v>
      </c>
      <c r="E89" s="14">
        <v>1.0</v>
      </c>
      <c r="F89" s="17">
        <v>10000.0</v>
      </c>
      <c r="G89" s="25">
        <f t="shared" si="1"/>
        <v>10000</v>
      </c>
      <c r="H89" s="25"/>
      <c r="I89" s="14">
        <f t="shared" si="2"/>
        <v>1</v>
      </c>
      <c r="J89" s="35"/>
    </row>
    <row r="90">
      <c r="B90" s="33"/>
      <c r="C90" s="25"/>
      <c r="D90" s="14" t="s">
        <v>56</v>
      </c>
      <c r="E90" s="14">
        <v>1.0</v>
      </c>
      <c r="F90" s="17">
        <v>15000.0</v>
      </c>
      <c r="G90" s="25">
        <f t="shared" si="1"/>
        <v>15000</v>
      </c>
      <c r="H90" s="25"/>
      <c r="I90" s="14">
        <f t="shared" si="2"/>
        <v>1</v>
      </c>
      <c r="J90" s="13"/>
    </row>
    <row r="91">
      <c r="B91" s="9" t="s">
        <v>130</v>
      </c>
      <c r="C91" s="23">
        <v>45707.0</v>
      </c>
      <c r="D91" s="14" t="s">
        <v>17</v>
      </c>
      <c r="E91" s="14">
        <v>8.0</v>
      </c>
      <c r="F91" s="17">
        <v>18000.0</v>
      </c>
      <c r="G91" s="25">
        <f t="shared" si="1"/>
        <v>144000</v>
      </c>
      <c r="H91" s="25"/>
      <c r="I91" s="14">
        <f t="shared" si="2"/>
        <v>8</v>
      </c>
      <c r="J91" s="29">
        <f>SUM(I91:I99)</f>
        <v>29</v>
      </c>
    </row>
    <row r="92">
      <c r="B92" s="33"/>
      <c r="C92" s="25"/>
      <c r="D92" s="14" t="s">
        <v>60</v>
      </c>
      <c r="E92" s="14">
        <v>8.0</v>
      </c>
      <c r="F92" s="17">
        <v>15000.0</v>
      </c>
      <c r="G92" s="25">
        <f t="shared" si="1"/>
        <v>120000</v>
      </c>
      <c r="H92" s="25"/>
      <c r="I92" s="14">
        <f t="shared" si="2"/>
        <v>8</v>
      </c>
      <c r="J92" s="35"/>
    </row>
    <row r="93">
      <c r="B93" s="33"/>
      <c r="C93" s="25"/>
      <c r="D93" s="14" t="s">
        <v>56</v>
      </c>
      <c r="E93" s="14">
        <v>4.0</v>
      </c>
      <c r="F93" s="17">
        <v>15000.0</v>
      </c>
      <c r="G93" s="25">
        <f t="shared" si="1"/>
        <v>60000</v>
      </c>
      <c r="H93" s="25"/>
      <c r="I93" s="14">
        <f t="shared" si="2"/>
        <v>4</v>
      </c>
      <c r="J93" s="35"/>
    </row>
    <row r="94">
      <c r="B94" s="33"/>
      <c r="C94" s="25"/>
      <c r="D94" s="14" t="s">
        <v>52</v>
      </c>
      <c r="E94" s="14">
        <v>3.0</v>
      </c>
      <c r="F94" s="17">
        <v>5000.0</v>
      </c>
      <c r="G94" s="25">
        <f t="shared" si="1"/>
        <v>15000</v>
      </c>
      <c r="H94" s="25"/>
      <c r="I94" s="14">
        <f t="shared" si="2"/>
        <v>3</v>
      </c>
      <c r="J94" s="35"/>
    </row>
    <row r="95">
      <c r="B95" s="33"/>
      <c r="C95" s="25"/>
      <c r="D95" s="14" t="s">
        <v>76</v>
      </c>
      <c r="E95" s="14">
        <v>2.0</v>
      </c>
      <c r="F95" s="17">
        <v>10000.0</v>
      </c>
      <c r="G95" s="25">
        <f t="shared" si="1"/>
        <v>20000</v>
      </c>
      <c r="H95" s="25"/>
      <c r="I95" s="14">
        <f t="shared" si="2"/>
        <v>2</v>
      </c>
      <c r="J95" s="35"/>
    </row>
    <row r="96">
      <c r="B96" s="33"/>
      <c r="C96" s="25"/>
      <c r="D96" s="14" t="s">
        <v>89</v>
      </c>
      <c r="E96" s="14">
        <v>1.0</v>
      </c>
      <c r="F96" s="17">
        <v>15000.0</v>
      </c>
      <c r="G96" s="25">
        <f t="shared" si="1"/>
        <v>15000</v>
      </c>
      <c r="H96" s="25"/>
      <c r="I96" s="14">
        <f t="shared" si="2"/>
        <v>1</v>
      </c>
      <c r="J96" s="35"/>
    </row>
    <row r="97">
      <c r="B97" s="33"/>
      <c r="C97" s="33"/>
      <c r="D97" s="14" t="s">
        <v>77</v>
      </c>
      <c r="E97" s="14">
        <v>1.0</v>
      </c>
      <c r="F97" s="17">
        <v>15000.0</v>
      </c>
      <c r="G97" s="25">
        <f t="shared" si="1"/>
        <v>15000</v>
      </c>
      <c r="H97" s="25"/>
      <c r="I97" s="14">
        <f t="shared" si="2"/>
        <v>1</v>
      </c>
      <c r="J97" s="35"/>
    </row>
    <row r="98">
      <c r="B98" s="33"/>
      <c r="C98" s="33"/>
      <c r="D98" s="14" t="s">
        <v>101</v>
      </c>
      <c r="E98" s="14">
        <v>1.0</v>
      </c>
      <c r="F98" s="17">
        <v>13000.0</v>
      </c>
      <c r="G98" s="25">
        <f t="shared" si="1"/>
        <v>13000</v>
      </c>
      <c r="H98" s="25"/>
      <c r="I98" s="14">
        <f t="shared" si="2"/>
        <v>1</v>
      </c>
      <c r="J98" s="35"/>
    </row>
    <row r="99">
      <c r="B99" s="33"/>
      <c r="C99" s="33"/>
      <c r="D99" s="14" t="s">
        <v>72</v>
      </c>
      <c r="E99" s="14">
        <v>1.0</v>
      </c>
      <c r="F99" s="17">
        <v>13000.0</v>
      </c>
      <c r="G99" s="25">
        <f t="shared" si="1"/>
        <v>13000</v>
      </c>
      <c r="H99" s="25"/>
      <c r="I99" s="14">
        <f t="shared" si="2"/>
        <v>1</v>
      </c>
      <c r="J99" s="13"/>
    </row>
    <row r="100">
      <c r="B100" s="9" t="s">
        <v>134</v>
      </c>
      <c r="C100" s="23">
        <v>45708.0</v>
      </c>
      <c r="D100" s="14" t="s">
        <v>17</v>
      </c>
      <c r="E100" s="14">
        <v>10.0</v>
      </c>
      <c r="F100" s="17">
        <v>18000.0</v>
      </c>
      <c r="G100" s="25">
        <f t="shared" si="1"/>
        <v>180000</v>
      </c>
      <c r="H100" s="25"/>
      <c r="I100" s="14">
        <f t="shared" si="2"/>
        <v>10</v>
      </c>
      <c r="J100" s="29">
        <f>SUM(I100:I114)</f>
        <v>52</v>
      </c>
    </row>
    <row r="101">
      <c r="B101" s="33"/>
      <c r="C101" s="33"/>
      <c r="D101" s="14" t="s">
        <v>56</v>
      </c>
      <c r="E101" s="14">
        <v>8.0</v>
      </c>
      <c r="F101" s="17">
        <v>15000.0</v>
      </c>
      <c r="G101" s="25">
        <f t="shared" si="1"/>
        <v>120000</v>
      </c>
      <c r="H101" s="25"/>
      <c r="I101" s="14">
        <f t="shared" si="2"/>
        <v>8</v>
      </c>
      <c r="J101" s="35"/>
    </row>
    <row r="102">
      <c r="B102" s="33"/>
      <c r="C102" s="33"/>
      <c r="D102" s="14" t="s">
        <v>76</v>
      </c>
      <c r="E102" s="14">
        <v>8.0</v>
      </c>
      <c r="F102" s="17">
        <v>10000.0</v>
      </c>
      <c r="G102" s="25">
        <f t="shared" si="1"/>
        <v>80000</v>
      </c>
      <c r="H102" s="25"/>
      <c r="I102" s="14">
        <f t="shared" si="2"/>
        <v>8</v>
      </c>
      <c r="J102" s="35"/>
    </row>
    <row r="103">
      <c r="B103" s="33"/>
      <c r="C103" s="33"/>
      <c r="D103" s="14" t="s">
        <v>52</v>
      </c>
      <c r="E103" s="14">
        <v>4.0</v>
      </c>
      <c r="F103" s="17">
        <v>5000.0</v>
      </c>
      <c r="G103" s="25">
        <f t="shared" si="1"/>
        <v>20000</v>
      </c>
      <c r="H103" s="25"/>
      <c r="I103" s="14">
        <f t="shared" si="2"/>
        <v>4</v>
      </c>
      <c r="J103" s="35"/>
    </row>
    <row r="104">
      <c r="B104" s="33"/>
      <c r="C104" s="33"/>
      <c r="D104" s="14" t="s">
        <v>89</v>
      </c>
      <c r="E104" s="14">
        <v>3.0</v>
      </c>
      <c r="F104" s="17">
        <v>15000.0</v>
      </c>
      <c r="G104" s="25">
        <f t="shared" si="1"/>
        <v>45000</v>
      </c>
      <c r="H104" s="25"/>
      <c r="I104" s="14">
        <f t="shared" si="2"/>
        <v>3</v>
      </c>
      <c r="J104" s="35"/>
    </row>
    <row r="105">
      <c r="B105" s="33"/>
      <c r="C105" s="33"/>
      <c r="D105" s="14" t="s">
        <v>69</v>
      </c>
      <c r="E105" s="14">
        <v>3.0</v>
      </c>
      <c r="F105" s="17">
        <v>13000.0</v>
      </c>
      <c r="G105" s="25">
        <f t="shared" si="1"/>
        <v>39000</v>
      </c>
      <c r="H105" s="25"/>
      <c r="I105" s="14">
        <f t="shared" si="2"/>
        <v>3</v>
      </c>
      <c r="J105" s="35"/>
    </row>
    <row r="106">
      <c r="B106" s="33"/>
      <c r="C106" s="33"/>
      <c r="D106" s="14" t="s">
        <v>77</v>
      </c>
      <c r="E106" s="14">
        <v>3.0</v>
      </c>
      <c r="F106" s="17">
        <v>15000.0</v>
      </c>
      <c r="G106" s="25">
        <f t="shared" si="1"/>
        <v>45000</v>
      </c>
      <c r="H106" s="25"/>
      <c r="I106" s="14">
        <f t="shared" si="2"/>
        <v>3</v>
      </c>
      <c r="J106" s="35"/>
    </row>
    <row r="107">
      <c r="B107" s="33"/>
      <c r="C107" s="33"/>
      <c r="D107" s="14" t="s">
        <v>60</v>
      </c>
      <c r="E107" s="14">
        <v>3.0</v>
      </c>
      <c r="F107" s="17">
        <v>15000.0</v>
      </c>
      <c r="G107" s="25">
        <f t="shared" si="1"/>
        <v>45000</v>
      </c>
      <c r="H107" s="25"/>
      <c r="I107" s="14">
        <f t="shared" si="2"/>
        <v>3</v>
      </c>
      <c r="J107" s="35"/>
    </row>
    <row r="108">
      <c r="B108" s="33"/>
      <c r="C108" s="33"/>
      <c r="D108" s="14" t="s">
        <v>65</v>
      </c>
      <c r="E108" s="14">
        <v>2.0</v>
      </c>
      <c r="F108" s="17">
        <v>13000.0</v>
      </c>
      <c r="G108" s="25">
        <f t="shared" si="1"/>
        <v>26000</v>
      </c>
      <c r="H108" s="25"/>
      <c r="I108" s="14">
        <f t="shared" si="2"/>
        <v>2</v>
      </c>
      <c r="J108" s="35"/>
    </row>
    <row r="109">
      <c r="B109" s="33"/>
      <c r="C109" s="33"/>
      <c r="D109" s="14" t="s">
        <v>72</v>
      </c>
      <c r="E109" s="14">
        <v>2.0</v>
      </c>
      <c r="F109" s="17">
        <v>13000.0</v>
      </c>
      <c r="G109" s="25">
        <f t="shared" si="1"/>
        <v>26000</v>
      </c>
      <c r="H109" s="25"/>
      <c r="I109" s="14">
        <f t="shared" si="2"/>
        <v>2</v>
      </c>
      <c r="J109" s="35"/>
    </row>
    <row r="110">
      <c r="B110" s="33"/>
      <c r="C110" s="33"/>
      <c r="D110" s="14" t="s">
        <v>128</v>
      </c>
      <c r="E110" s="14">
        <v>2.0</v>
      </c>
      <c r="F110" s="17">
        <v>18000.0</v>
      </c>
      <c r="G110" s="25">
        <f t="shared" si="1"/>
        <v>36000</v>
      </c>
      <c r="H110" s="25"/>
      <c r="I110" s="14">
        <f t="shared" si="2"/>
        <v>2</v>
      </c>
      <c r="J110" s="35"/>
    </row>
    <row r="111">
      <c r="B111" s="33"/>
      <c r="C111" s="33"/>
      <c r="D111" s="14" t="s">
        <v>109</v>
      </c>
      <c r="E111" s="14">
        <v>1.0</v>
      </c>
      <c r="F111" s="17">
        <v>18000.0</v>
      </c>
      <c r="G111" s="25">
        <f t="shared" si="1"/>
        <v>18000</v>
      </c>
      <c r="H111" s="25"/>
      <c r="I111" s="14">
        <f t="shared" si="2"/>
        <v>1</v>
      </c>
      <c r="J111" s="35"/>
    </row>
    <row r="112">
      <c r="B112" s="33"/>
      <c r="C112" s="33"/>
      <c r="D112" s="14" t="s">
        <v>71</v>
      </c>
      <c r="E112" s="14">
        <v>1.0</v>
      </c>
      <c r="F112" s="17">
        <v>12000.0</v>
      </c>
      <c r="G112" s="25">
        <f t="shared" si="1"/>
        <v>12000</v>
      </c>
      <c r="H112" s="25"/>
      <c r="I112" s="14">
        <f t="shared" si="2"/>
        <v>1</v>
      </c>
      <c r="J112" s="35"/>
    </row>
    <row r="113">
      <c r="B113" s="33"/>
      <c r="C113" s="33"/>
      <c r="D113" s="14" t="s">
        <v>59</v>
      </c>
      <c r="E113" s="14">
        <v>1.0</v>
      </c>
      <c r="F113" s="17">
        <v>10000.0</v>
      </c>
      <c r="G113" s="25">
        <f t="shared" si="1"/>
        <v>10000</v>
      </c>
      <c r="H113" s="25"/>
      <c r="I113" s="14">
        <f t="shared" si="2"/>
        <v>1</v>
      </c>
      <c r="J113" s="35"/>
    </row>
    <row r="114">
      <c r="B114" s="33"/>
      <c r="C114" s="33"/>
      <c r="D114" s="14" t="s">
        <v>107</v>
      </c>
      <c r="E114" s="14">
        <v>1.0</v>
      </c>
      <c r="F114" s="17">
        <v>18000.0</v>
      </c>
      <c r="G114" s="25">
        <f t="shared" si="1"/>
        <v>18000</v>
      </c>
      <c r="H114" s="25"/>
      <c r="I114" s="14">
        <f t="shared" si="2"/>
        <v>1</v>
      </c>
      <c r="J114" s="13"/>
    </row>
    <row r="115">
      <c r="B115" s="9" t="s">
        <v>135</v>
      </c>
      <c r="C115" s="23">
        <v>45709.0</v>
      </c>
      <c r="D115" s="14" t="s">
        <v>17</v>
      </c>
      <c r="E115" s="14">
        <v>16.0</v>
      </c>
      <c r="F115" s="17">
        <v>18000.0</v>
      </c>
      <c r="G115" s="25">
        <f t="shared" si="1"/>
        <v>288000</v>
      </c>
      <c r="H115" s="25"/>
      <c r="I115" s="14">
        <f t="shared" si="2"/>
        <v>16</v>
      </c>
      <c r="J115" s="29">
        <f>sum(I115:I133)</f>
        <v>65</v>
      </c>
    </row>
    <row r="116">
      <c r="B116" s="33"/>
      <c r="C116" s="33"/>
      <c r="D116" s="14" t="s">
        <v>65</v>
      </c>
      <c r="E116" s="14">
        <v>7.0</v>
      </c>
      <c r="F116" s="17">
        <v>13000.0</v>
      </c>
      <c r="G116" s="25">
        <f t="shared" si="1"/>
        <v>91000</v>
      </c>
      <c r="H116" s="25"/>
      <c r="I116" s="14">
        <f t="shared" si="2"/>
        <v>7</v>
      </c>
      <c r="J116" s="35"/>
    </row>
    <row r="117">
      <c r="B117" s="33"/>
      <c r="C117" s="33"/>
      <c r="D117" s="14" t="s">
        <v>52</v>
      </c>
      <c r="E117" s="14">
        <v>6.0</v>
      </c>
      <c r="F117" s="17">
        <v>5000.0</v>
      </c>
      <c r="G117" s="25">
        <f t="shared" si="1"/>
        <v>30000</v>
      </c>
      <c r="H117" s="25"/>
      <c r="I117" s="14">
        <f t="shared" si="2"/>
        <v>6</v>
      </c>
      <c r="J117" s="35"/>
    </row>
    <row r="118">
      <c r="B118" s="33"/>
      <c r="C118" s="33"/>
      <c r="D118" s="14" t="s">
        <v>77</v>
      </c>
      <c r="E118" s="14">
        <v>5.0</v>
      </c>
      <c r="F118" s="17">
        <v>15000.0</v>
      </c>
      <c r="G118" s="25">
        <f t="shared" si="1"/>
        <v>75000</v>
      </c>
      <c r="H118" s="25"/>
      <c r="I118" s="14">
        <f t="shared" si="2"/>
        <v>5</v>
      </c>
      <c r="J118" s="35"/>
    </row>
    <row r="119">
      <c r="B119" s="33"/>
      <c r="C119" s="33"/>
      <c r="D119" s="14" t="s">
        <v>69</v>
      </c>
      <c r="E119" s="14">
        <v>4.0</v>
      </c>
      <c r="F119" s="17">
        <v>13000.0</v>
      </c>
      <c r="G119" s="25">
        <f t="shared" si="1"/>
        <v>52000</v>
      </c>
      <c r="H119" s="25"/>
      <c r="I119" s="14">
        <f t="shared" si="2"/>
        <v>4</v>
      </c>
      <c r="J119" s="35"/>
    </row>
    <row r="120">
      <c r="B120" s="33"/>
      <c r="C120" s="33"/>
      <c r="D120" s="14" t="s">
        <v>60</v>
      </c>
      <c r="E120" s="14">
        <v>3.0</v>
      </c>
      <c r="F120" s="17">
        <v>15000.0</v>
      </c>
      <c r="G120" s="25">
        <f t="shared" si="1"/>
        <v>45000</v>
      </c>
      <c r="H120" s="25"/>
      <c r="I120" s="14">
        <f t="shared" si="2"/>
        <v>3</v>
      </c>
      <c r="J120" s="35"/>
    </row>
    <row r="121">
      <c r="B121" s="33"/>
      <c r="C121" s="33"/>
      <c r="D121" s="14" t="s">
        <v>72</v>
      </c>
      <c r="E121" s="14">
        <v>3.0</v>
      </c>
      <c r="F121" s="17">
        <v>13000.0</v>
      </c>
      <c r="G121" s="25">
        <f t="shared" si="1"/>
        <v>39000</v>
      </c>
      <c r="H121" s="25"/>
      <c r="I121" s="14">
        <f t="shared" si="2"/>
        <v>3</v>
      </c>
      <c r="J121" s="35"/>
    </row>
    <row r="122">
      <c r="B122" s="33"/>
      <c r="C122" s="33"/>
      <c r="D122" s="14" t="s">
        <v>128</v>
      </c>
      <c r="E122" s="14">
        <v>3.0</v>
      </c>
      <c r="F122" s="17">
        <v>18000.0</v>
      </c>
      <c r="G122" s="25">
        <f t="shared" si="1"/>
        <v>54000</v>
      </c>
      <c r="H122" s="25"/>
      <c r="I122" s="14">
        <f t="shared" si="2"/>
        <v>3</v>
      </c>
      <c r="J122" s="35"/>
    </row>
    <row r="123">
      <c r="B123" s="33"/>
      <c r="C123" s="33"/>
      <c r="D123" s="14" t="s">
        <v>89</v>
      </c>
      <c r="E123" s="14">
        <v>2.0</v>
      </c>
      <c r="F123" s="17">
        <v>15000.0</v>
      </c>
      <c r="G123" s="25">
        <f t="shared" si="1"/>
        <v>30000</v>
      </c>
      <c r="H123" s="25"/>
      <c r="I123" s="14">
        <f t="shared" si="2"/>
        <v>2</v>
      </c>
      <c r="J123" s="35"/>
    </row>
    <row r="124">
      <c r="B124" s="33"/>
      <c r="C124" s="33"/>
      <c r="D124" s="14" t="s">
        <v>28</v>
      </c>
      <c r="E124" s="14">
        <v>2.0</v>
      </c>
      <c r="F124" s="17">
        <v>15000.0</v>
      </c>
      <c r="G124" s="25">
        <f t="shared" si="1"/>
        <v>30000</v>
      </c>
      <c r="H124" s="25"/>
      <c r="I124" s="14">
        <f t="shared" si="2"/>
        <v>2</v>
      </c>
      <c r="J124" s="35"/>
    </row>
    <row r="125">
      <c r="B125" s="33"/>
      <c r="C125" s="33"/>
      <c r="D125" s="14" t="s">
        <v>53</v>
      </c>
      <c r="E125" s="14">
        <v>2.0</v>
      </c>
      <c r="F125" s="17">
        <v>15000.0</v>
      </c>
      <c r="G125" s="25">
        <f t="shared" si="1"/>
        <v>30000</v>
      </c>
      <c r="H125" s="25"/>
      <c r="I125" s="14">
        <f t="shared" si="2"/>
        <v>2</v>
      </c>
      <c r="J125" s="35"/>
    </row>
    <row r="126">
      <c r="B126" s="33"/>
      <c r="C126" s="33"/>
      <c r="D126" s="14" t="s">
        <v>101</v>
      </c>
      <c r="E126" s="14">
        <v>2.0</v>
      </c>
      <c r="F126" s="17">
        <v>13000.0</v>
      </c>
      <c r="G126" s="25">
        <f t="shared" si="1"/>
        <v>26000</v>
      </c>
      <c r="H126" s="25"/>
      <c r="I126" s="14">
        <f t="shared" si="2"/>
        <v>2</v>
      </c>
      <c r="J126" s="35"/>
    </row>
    <row r="127">
      <c r="B127" s="33"/>
      <c r="C127" s="33"/>
      <c r="D127" s="14" t="s">
        <v>68</v>
      </c>
      <c r="E127" s="14">
        <v>2.0</v>
      </c>
      <c r="F127" s="17">
        <v>13000.0</v>
      </c>
      <c r="G127" s="25">
        <f t="shared" si="1"/>
        <v>26000</v>
      </c>
      <c r="H127" s="25"/>
      <c r="I127" s="14">
        <f t="shared" si="2"/>
        <v>2</v>
      </c>
      <c r="J127" s="35"/>
    </row>
    <row r="128">
      <c r="B128" s="33"/>
      <c r="C128" s="33"/>
      <c r="D128" s="14" t="s">
        <v>107</v>
      </c>
      <c r="E128" s="14">
        <v>2.0</v>
      </c>
      <c r="F128" s="17">
        <v>18000.0</v>
      </c>
      <c r="G128" s="25">
        <f t="shared" si="1"/>
        <v>36000</v>
      </c>
      <c r="H128" s="25"/>
      <c r="I128" s="14">
        <f t="shared" si="2"/>
        <v>2</v>
      </c>
      <c r="J128" s="35"/>
    </row>
    <row r="129">
      <c r="B129" s="33"/>
      <c r="C129" s="33"/>
      <c r="D129" s="14" t="s">
        <v>76</v>
      </c>
      <c r="E129" s="14">
        <v>2.0</v>
      </c>
      <c r="F129" s="17">
        <v>10000.0</v>
      </c>
      <c r="G129" s="25">
        <f t="shared" si="1"/>
        <v>20000</v>
      </c>
      <c r="H129" s="25"/>
      <c r="I129" s="14">
        <f t="shared" si="2"/>
        <v>2</v>
      </c>
      <c r="J129" s="35"/>
    </row>
    <row r="130">
      <c r="B130" s="33"/>
      <c r="C130" s="33"/>
      <c r="D130" s="14" t="s">
        <v>56</v>
      </c>
      <c r="E130" s="14">
        <v>1.0</v>
      </c>
      <c r="F130" s="17">
        <v>15000.0</v>
      </c>
      <c r="G130" s="25">
        <f t="shared" si="1"/>
        <v>15000</v>
      </c>
      <c r="H130" s="25"/>
      <c r="I130" s="14">
        <f t="shared" si="2"/>
        <v>1</v>
      </c>
      <c r="J130" s="35"/>
    </row>
    <row r="131">
      <c r="B131" s="33"/>
      <c r="C131" s="33"/>
      <c r="D131" s="14" t="s">
        <v>59</v>
      </c>
      <c r="E131" s="14">
        <v>1.0</v>
      </c>
      <c r="F131" s="17">
        <v>10000.0</v>
      </c>
      <c r="G131" s="25">
        <f t="shared" si="1"/>
        <v>10000</v>
      </c>
      <c r="H131" s="25"/>
      <c r="I131" s="14">
        <f t="shared" si="2"/>
        <v>1</v>
      </c>
      <c r="J131" s="35"/>
    </row>
    <row r="132">
      <c r="B132" s="33"/>
      <c r="C132" s="33"/>
      <c r="D132" s="14" t="s">
        <v>109</v>
      </c>
      <c r="E132" s="14">
        <v>1.0</v>
      </c>
      <c r="F132" s="17">
        <v>18000.0</v>
      </c>
      <c r="G132" s="25">
        <f t="shared" si="1"/>
        <v>18000</v>
      </c>
      <c r="H132" s="25"/>
      <c r="I132" s="14">
        <f t="shared" si="2"/>
        <v>1</v>
      </c>
      <c r="J132" s="35"/>
    </row>
    <row r="133">
      <c r="B133" s="33"/>
      <c r="C133" s="33"/>
      <c r="D133" s="14" t="s">
        <v>62</v>
      </c>
      <c r="E133" s="14">
        <v>1.0</v>
      </c>
      <c r="F133" s="17">
        <v>15000.0</v>
      </c>
      <c r="G133" s="25">
        <f t="shared" si="1"/>
        <v>15000</v>
      </c>
      <c r="H133" s="25"/>
      <c r="I133" s="14">
        <f t="shared" si="2"/>
        <v>1</v>
      </c>
      <c r="J133" s="13"/>
    </row>
    <row r="134">
      <c r="B134" s="9" t="s">
        <v>136</v>
      </c>
      <c r="C134" s="84">
        <v>45710.0</v>
      </c>
      <c r="D134" s="14" t="s">
        <v>60</v>
      </c>
      <c r="E134" s="14">
        <v>5.0</v>
      </c>
      <c r="F134" s="17">
        <v>15000.0</v>
      </c>
      <c r="G134" s="25">
        <f t="shared" si="1"/>
        <v>75000</v>
      </c>
      <c r="H134" s="25"/>
      <c r="I134" s="14">
        <f t="shared" si="2"/>
        <v>5</v>
      </c>
      <c r="J134" s="29">
        <f>SUM(I134:I147)</f>
        <v>28</v>
      </c>
      <c r="K134" s="70" t="s">
        <v>88</v>
      </c>
      <c r="L134" s="71">
        <v>1.0</v>
      </c>
      <c r="M134" s="72">
        <v>5000.0</v>
      </c>
      <c r="N134" s="73">
        <f>M134*L134</f>
        <v>5000</v>
      </c>
      <c r="O134" s="14">
        <f>L134</f>
        <v>1</v>
      </c>
    </row>
    <row r="135">
      <c r="B135" s="33"/>
      <c r="C135" s="33"/>
      <c r="D135" s="14" t="s">
        <v>52</v>
      </c>
      <c r="E135" s="14">
        <v>4.0</v>
      </c>
      <c r="F135" s="17">
        <v>5000.0</v>
      </c>
      <c r="G135" s="25">
        <f t="shared" si="1"/>
        <v>20000</v>
      </c>
      <c r="H135" s="25"/>
      <c r="I135" s="14">
        <f t="shared" si="2"/>
        <v>4</v>
      </c>
      <c r="J135" s="35"/>
    </row>
    <row r="136">
      <c r="B136" s="33"/>
      <c r="C136" s="33"/>
      <c r="D136" s="14" t="s">
        <v>62</v>
      </c>
      <c r="E136" s="14">
        <v>4.0</v>
      </c>
      <c r="F136" s="17">
        <v>15000.0</v>
      </c>
      <c r="G136" s="25">
        <f t="shared" si="1"/>
        <v>60000</v>
      </c>
      <c r="H136" s="25"/>
      <c r="I136" s="14">
        <f t="shared" si="2"/>
        <v>4</v>
      </c>
      <c r="J136" s="35"/>
    </row>
    <row r="137">
      <c r="B137" s="33"/>
      <c r="C137" s="33"/>
      <c r="D137" s="14" t="s">
        <v>17</v>
      </c>
      <c r="E137" s="14">
        <v>3.0</v>
      </c>
      <c r="F137" s="17">
        <v>18000.0</v>
      </c>
      <c r="G137" s="25">
        <f t="shared" si="1"/>
        <v>54000</v>
      </c>
      <c r="H137" s="25"/>
      <c r="I137" s="14">
        <f t="shared" si="2"/>
        <v>3</v>
      </c>
      <c r="J137" s="35"/>
    </row>
    <row r="138">
      <c r="B138" s="33"/>
      <c r="C138" s="33"/>
      <c r="D138" s="14" t="s">
        <v>71</v>
      </c>
      <c r="E138" s="14">
        <v>2.0</v>
      </c>
      <c r="F138" s="17">
        <v>12000.0</v>
      </c>
      <c r="G138" s="25">
        <f t="shared" si="1"/>
        <v>24000</v>
      </c>
      <c r="H138" s="25"/>
      <c r="I138" s="14">
        <f t="shared" si="2"/>
        <v>2</v>
      </c>
      <c r="J138" s="35"/>
    </row>
    <row r="139">
      <c r="B139" s="33"/>
      <c r="C139" s="33"/>
      <c r="D139" s="14" t="s">
        <v>69</v>
      </c>
      <c r="E139" s="14">
        <v>2.0</v>
      </c>
      <c r="F139" s="17">
        <v>13000.0</v>
      </c>
      <c r="G139" s="25">
        <f t="shared" si="1"/>
        <v>26000</v>
      </c>
      <c r="H139" s="25"/>
      <c r="I139" s="14">
        <f t="shared" si="2"/>
        <v>2</v>
      </c>
      <c r="J139" s="35"/>
    </row>
    <row r="140">
      <c r="B140" s="33"/>
      <c r="C140" s="33"/>
      <c r="D140" s="14" t="s">
        <v>56</v>
      </c>
      <c r="E140" s="14">
        <v>1.0</v>
      </c>
      <c r="F140" s="17">
        <v>15000.0</v>
      </c>
      <c r="G140" s="25">
        <f t="shared" si="1"/>
        <v>15000</v>
      </c>
      <c r="H140" s="25"/>
      <c r="I140" s="14">
        <f t="shared" si="2"/>
        <v>1</v>
      </c>
      <c r="J140" s="35"/>
    </row>
    <row r="141">
      <c r="B141" s="33"/>
      <c r="C141" s="33"/>
      <c r="D141" s="14" t="s">
        <v>77</v>
      </c>
      <c r="E141" s="14">
        <v>1.0</v>
      </c>
      <c r="F141" s="17">
        <v>15000.0</v>
      </c>
      <c r="G141" s="25">
        <f t="shared" si="1"/>
        <v>15000</v>
      </c>
      <c r="H141" s="25"/>
      <c r="I141" s="14">
        <f t="shared" si="2"/>
        <v>1</v>
      </c>
      <c r="J141" s="35"/>
    </row>
    <row r="142">
      <c r="B142" s="33"/>
      <c r="C142" s="33"/>
      <c r="D142" s="14" t="s">
        <v>109</v>
      </c>
      <c r="E142" s="14">
        <v>1.0</v>
      </c>
      <c r="F142" s="17">
        <v>18000.0</v>
      </c>
      <c r="G142" s="25">
        <f t="shared" si="1"/>
        <v>18000</v>
      </c>
      <c r="H142" s="25"/>
      <c r="I142" s="14">
        <f t="shared" si="2"/>
        <v>1</v>
      </c>
      <c r="J142" s="35"/>
    </row>
    <row r="143">
      <c r="B143" s="33"/>
      <c r="C143" s="33"/>
      <c r="D143" s="14" t="s">
        <v>28</v>
      </c>
      <c r="E143" s="14">
        <v>1.0</v>
      </c>
      <c r="F143" s="17">
        <v>15000.0</v>
      </c>
      <c r="G143" s="25">
        <f t="shared" si="1"/>
        <v>15000</v>
      </c>
      <c r="H143" s="25"/>
      <c r="I143" s="14">
        <f t="shared" si="2"/>
        <v>1</v>
      </c>
      <c r="J143" s="35"/>
    </row>
    <row r="144">
      <c r="B144" s="33"/>
      <c r="C144" s="33"/>
      <c r="D144" s="14" t="s">
        <v>65</v>
      </c>
      <c r="E144" s="14">
        <v>1.0</v>
      </c>
      <c r="F144" s="17">
        <v>13000.0</v>
      </c>
      <c r="G144" s="25">
        <f t="shared" si="1"/>
        <v>13000</v>
      </c>
      <c r="H144" s="25"/>
      <c r="I144" s="14">
        <f t="shared" si="2"/>
        <v>1</v>
      </c>
      <c r="J144" s="35"/>
    </row>
    <row r="145">
      <c r="B145" s="33"/>
      <c r="C145" s="33"/>
      <c r="D145" s="14" t="s">
        <v>72</v>
      </c>
      <c r="E145" s="14">
        <v>1.0</v>
      </c>
      <c r="F145" s="17">
        <v>13000.0</v>
      </c>
      <c r="G145" s="25">
        <f t="shared" si="1"/>
        <v>13000</v>
      </c>
      <c r="H145" s="25"/>
      <c r="I145" s="14">
        <f t="shared" si="2"/>
        <v>1</v>
      </c>
      <c r="J145" s="35"/>
    </row>
    <row r="146">
      <c r="B146" s="33"/>
      <c r="C146" s="33"/>
      <c r="D146" s="14" t="s">
        <v>89</v>
      </c>
      <c r="E146" s="14">
        <v>1.0</v>
      </c>
      <c r="F146" s="17">
        <v>15000.0</v>
      </c>
      <c r="G146" s="25">
        <f t="shared" si="1"/>
        <v>15000</v>
      </c>
      <c r="H146" s="25"/>
      <c r="I146" s="14">
        <f t="shared" si="2"/>
        <v>1</v>
      </c>
      <c r="J146" s="35"/>
    </row>
    <row r="147">
      <c r="B147" s="33"/>
      <c r="C147" s="33"/>
      <c r="D147" s="14" t="s">
        <v>128</v>
      </c>
      <c r="E147" s="14">
        <v>1.0</v>
      </c>
      <c r="F147" s="17">
        <v>18000.0</v>
      </c>
      <c r="G147" s="25">
        <f t="shared" si="1"/>
        <v>18000</v>
      </c>
      <c r="H147" s="25"/>
      <c r="I147" s="14">
        <f t="shared" si="2"/>
        <v>1</v>
      </c>
      <c r="J147" s="13"/>
    </row>
    <row r="148">
      <c r="B148" s="9" t="s">
        <v>143</v>
      </c>
      <c r="C148" s="23">
        <v>45711.0</v>
      </c>
      <c r="D148" s="14" t="s">
        <v>17</v>
      </c>
      <c r="E148" s="14">
        <v>5.0</v>
      </c>
      <c r="F148" s="17">
        <v>18000.0</v>
      </c>
      <c r="G148" s="25">
        <f t="shared" si="1"/>
        <v>90000</v>
      </c>
      <c r="H148" s="25"/>
      <c r="I148" s="14">
        <f t="shared" si="2"/>
        <v>5</v>
      </c>
      <c r="J148" s="29">
        <f>SUM(I148:I162)</f>
        <v>27</v>
      </c>
    </row>
    <row r="149">
      <c r="B149" s="33"/>
      <c r="C149" s="33"/>
      <c r="D149" s="14" t="s">
        <v>77</v>
      </c>
      <c r="E149" s="14">
        <v>4.0</v>
      </c>
      <c r="F149" s="17">
        <v>15000.0</v>
      </c>
      <c r="G149" s="25">
        <f t="shared" si="1"/>
        <v>60000</v>
      </c>
      <c r="H149" s="25"/>
      <c r="I149" s="14">
        <f t="shared" si="2"/>
        <v>4</v>
      </c>
      <c r="J149" s="35"/>
    </row>
    <row r="150">
      <c r="B150" s="33"/>
      <c r="C150" s="33"/>
      <c r="D150" s="14" t="s">
        <v>72</v>
      </c>
      <c r="E150" s="14">
        <v>2.0</v>
      </c>
      <c r="F150" s="17">
        <v>13000.0</v>
      </c>
      <c r="G150" s="25">
        <f t="shared" si="1"/>
        <v>26000</v>
      </c>
      <c r="H150" s="25"/>
      <c r="I150" s="14">
        <f t="shared" si="2"/>
        <v>2</v>
      </c>
      <c r="J150" s="35"/>
    </row>
    <row r="151">
      <c r="B151" s="33"/>
      <c r="C151" s="33"/>
      <c r="D151" s="14" t="s">
        <v>59</v>
      </c>
      <c r="E151" s="14">
        <v>1.0</v>
      </c>
      <c r="F151" s="17">
        <v>10000.0</v>
      </c>
      <c r="G151" s="25">
        <f t="shared" si="1"/>
        <v>10000</v>
      </c>
      <c r="H151" s="25"/>
      <c r="I151" s="14">
        <f t="shared" si="2"/>
        <v>1</v>
      </c>
      <c r="J151" s="35"/>
    </row>
    <row r="152">
      <c r="B152" s="33"/>
      <c r="C152" s="33"/>
      <c r="D152" s="14" t="s">
        <v>89</v>
      </c>
      <c r="E152" s="14">
        <v>2.0</v>
      </c>
      <c r="F152" s="17">
        <v>15000.0</v>
      </c>
      <c r="G152" s="25">
        <f t="shared" si="1"/>
        <v>30000</v>
      </c>
      <c r="H152" s="25"/>
      <c r="I152" s="14">
        <f t="shared" si="2"/>
        <v>2</v>
      </c>
      <c r="J152" s="35"/>
    </row>
    <row r="153">
      <c r="B153" s="33"/>
      <c r="C153" s="33"/>
      <c r="D153" s="14" t="s">
        <v>155</v>
      </c>
      <c r="E153" s="14">
        <v>2.0</v>
      </c>
      <c r="F153" s="17">
        <v>13000.0</v>
      </c>
      <c r="G153" s="25">
        <f t="shared" si="1"/>
        <v>26000</v>
      </c>
      <c r="H153" s="25"/>
      <c r="I153" s="14">
        <f t="shared" si="2"/>
        <v>2</v>
      </c>
      <c r="J153" s="35"/>
    </row>
    <row r="154">
      <c r="B154" s="33"/>
      <c r="C154" s="33"/>
      <c r="D154" s="14" t="s">
        <v>53</v>
      </c>
      <c r="E154" s="14">
        <v>1.0</v>
      </c>
      <c r="F154" s="17">
        <v>15000.0</v>
      </c>
      <c r="G154" s="25">
        <f t="shared" si="1"/>
        <v>15000</v>
      </c>
      <c r="H154" s="25"/>
      <c r="I154" s="14">
        <f t="shared" si="2"/>
        <v>1</v>
      </c>
      <c r="J154" s="35"/>
    </row>
    <row r="155">
      <c r="B155" s="33"/>
      <c r="C155" s="33"/>
      <c r="D155" s="14" t="s">
        <v>62</v>
      </c>
      <c r="E155" s="14">
        <v>2.0</v>
      </c>
      <c r="F155" s="17">
        <v>15000.0</v>
      </c>
      <c r="G155" s="25">
        <f t="shared" si="1"/>
        <v>30000</v>
      </c>
      <c r="H155" s="25"/>
      <c r="I155" s="14">
        <f t="shared" si="2"/>
        <v>2</v>
      </c>
      <c r="J155" s="35"/>
    </row>
    <row r="156">
      <c r="B156" s="33"/>
      <c r="C156" s="33"/>
      <c r="D156" s="14" t="s">
        <v>56</v>
      </c>
      <c r="E156" s="14">
        <v>1.0</v>
      </c>
      <c r="F156" s="17">
        <v>15000.0</v>
      </c>
      <c r="G156" s="25">
        <f t="shared" si="1"/>
        <v>15000</v>
      </c>
      <c r="H156" s="25"/>
      <c r="I156" s="14">
        <f t="shared" si="2"/>
        <v>1</v>
      </c>
      <c r="J156" s="35"/>
    </row>
    <row r="157">
      <c r="B157" s="33"/>
      <c r="C157" s="33"/>
      <c r="D157" s="14" t="s">
        <v>76</v>
      </c>
      <c r="E157" s="14">
        <v>1.0</v>
      </c>
      <c r="F157" s="17">
        <v>10000.0</v>
      </c>
      <c r="G157" s="25">
        <f t="shared" si="1"/>
        <v>10000</v>
      </c>
      <c r="H157" s="25"/>
      <c r="I157" s="14">
        <f t="shared" si="2"/>
        <v>1</v>
      </c>
      <c r="J157" s="35"/>
    </row>
    <row r="158">
      <c r="B158" s="33"/>
      <c r="C158" s="33"/>
      <c r="D158" s="14" t="s">
        <v>60</v>
      </c>
      <c r="E158" s="14">
        <v>1.0</v>
      </c>
      <c r="F158" s="17">
        <v>15000.0</v>
      </c>
      <c r="G158" s="25">
        <f t="shared" si="1"/>
        <v>15000</v>
      </c>
      <c r="H158" s="25"/>
      <c r="I158" s="14">
        <f t="shared" si="2"/>
        <v>1</v>
      </c>
      <c r="J158" s="35"/>
    </row>
    <row r="159">
      <c r="B159" s="33"/>
      <c r="C159" s="33"/>
      <c r="D159" s="14" t="s">
        <v>69</v>
      </c>
      <c r="E159" s="14">
        <v>1.0</v>
      </c>
      <c r="F159" s="17">
        <v>13000.0</v>
      </c>
      <c r="G159" s="25">
        <f t="shared" si="1"/>
        <v>13000</v>
      </c>
      <c r="H159" s="25"/>
      <c r="I159" s="14">
        <f t="shared" si="2"/>
        <v>1</v>
      </c>
      <c r="J159" s="35"/>
    </row>
    <row r="160">
      <c r="B160" s="33"/>
      <c r="C160" s="33"/>
      <c r="D160" s="14" t="s">
        <v>52</v>
      </c>
      <c r="E160" s="14">
        <v>1.0</v>
      </c>
      <c r="F160" s="17">
        <v>5000.0</v>
      </c>
      <c r="G160" s="25">
        <f t="shared" si="1"/>
        <v>5000</v>
      </c>
      <c r="H160" s="25"/>
      <c r="I160" s="14">
        <f t="shared" si="2"/>
        <v>1</v>
      </c>
      <c r="J160" s="35"/>
    </row>
    <row r="161">
      <c r="B161" s="33"/>
      <c r="C161" s="33"/>
      <c r="D161" s="14" t="s">
        <v>128</v>
      </c>
      <c r="E161" s="14">
        <v>2.0</v>
      </c>
      <c r="F161" s="17">
        <v>18000.0</v>
      </c>
      <c r="G161" s="25">
        <f t="shared" si="1"/>
        <v>36000</v>
      </c>
      <c r="H161" s="25"/>
      <c r="I161" s="14">
        <f t="shared" si="2"/>
        <v>2</v>
      </c>
      <c r="J161" s="35"/>
    </row>
    <row r="162">
      <c r="B162" s="33"/>
      <c r="C162" s="33"/>
      <c r="D162" s="14" t="s">
        <v>109</v>
      </c>
      <c r="E162" s="14">
        <v>1.0</v>
      </c>
      <c r="F162" s="17">
        <v>18000.0</v>
      </c>
      <c r="G162" s="25">
        <f t="shared" si="1"/>
        <v>18000</v>
      </c>
      <c r="H162" s="25"/>
      <c r="I162" s="14">
        <f t="shared" si="2"/>
        <v>1</v>
      </c>
      <c r="J162" s="13"/>
    </row>
    <row r="163">
      <c r="B163" s="9" t="s">
        <v>149</v>
      </c>
      <c r="C163" s="23">
        <v>45712.0</v>
      </c>
      <c r="D163" s="14" t="s">
        <v>56</v>
      </c>
      <c r="E163" s="14">
        <v>9.0</v>
      </c>
      <c r="F163" s="17">
        <v>15000.0</v>
      </c>
      <c r="G163" s="25">
        <f t="shared" si="1"/>
        <v>135000</v>
      </c>
      <c r="H163" s="25"/>
      <c r="I163" s="14">
        <f t="shared" si="2"/>
        <v>9</v>
      </c>
      <c r="J163" s="29">
        <f>SUM(I163:I175)</f>
        <v>51</v>
      </c>
      <c r="K163" s="14" t="s">
        <v>70</v>
      </c>
      <c r="L163" s="14">
        <v>1.0</v>
      </c>
      <c r="M163" s="17">
        <v>8000.0</v>
      </c>
      <c r="N163" s="25">
        <f t="shared" ref="N163:N164" si="7">M163*L163</f>
        <v>8000</v>
      </c>
      <c r="O163" s="85">
        <f>SUM(L163:L164)</f>
        <v>2</v>
      </c>
    </row>
    <row r="164">
      <c r="B164" s="33"/>
      <c r="C164" s="33"/>
      <c r="D164" s="14" t="s">
        <v>17</v>
      </c>
      <c r="E164" s="14">
        <v>7.0</v>
      </c>
      <c r="F164" s="17">
        <v>18000.0</v>
      </c>
      <c r="G164" s="25">
        <f t="shared" si="1"/>
        <v>126000</v>
      </c>
      <c r="H164" s="25"/>
      <c r="I164" s="14">
        <f t="shared" si="2"/>
        <v>7</v>
      </c>
      <c r="J164" s="35"/>
      <c r="K164" s="14" t="s">
        <v>158</v>
      </c>
      <c r="L164" s="14">
        <v>1.0</v>
      </c>
      <c r="M164" s="17">
        <v>5000.0</v>
      </c>
      <c r="N164" s="25">
        <f t="shared" si="7"/>
        <v>5000</v>
      </c>
      <c r="O164" s="13"/>
    </row>
    <row r="165">
      <c r="B165" s="33"/>
      <c r="C165" s="33"/>
      <c r="D165" s="14" t="s">
        <v>52</v>
      </c>
      <c r="E165" s="14">
        <v>6.0</v>
      </c>
      <c r="F165" s="17">
        <v>5000.0</v>
      </c>
      <c r="G165" s="25">
        <f t="shared" si="1"/>
        <v>30000</v>
      </c>
      <c r="H165" s="25"/>
      <c r="I165" s="14">
        <f t="shared" si="2"/>
        <v>6</v>
      </c>
      <c r="J165" s="35"/>
    </row>
    <row r="166">
      <c r="B166" s="33"/>
      <c r="C166" s="33"/>
      <c r="D166" s="14" t="s">
        <v>62</v>
      </c>
      <c r="E166" s="14">
        <v>6.0</v>
      </c>
      <c r="F166" s="17">
        <v>15000.0</v>
      </c>
      <c r="G166" s="25">
        <f t="shared" si="1"/>
        <v>90000</v>
      </c>
      <c r="H166" s="25"/>
      <c r="I166" s="14">
        <f t="shared" si="2"/>
        <v>6</v>
      </c>
      <c r="J166" s="35"/>
    </row>
    <row r="167">
      <c r="B167" s="33"/>
      <c r="C167" s="33"/>
      <c r="D167" s="14" t="s">
        <v>76</v>
      </c>
      <c r="E167" s="14">
        <v>5.0</v>
      </c>
      <c r="F167" s="17">
        <v>10000.0</v>
      </c>
      <c r="G167" s="25">
        <f t="shared" si="1"/>
        <v>50000</v>
      </c>
      <c r="H167" s="25"/>
      <c r="I167" s="14">
        <f t="shared" si="2"/>
        <v>5</v>
      </c>
      <c r="J167" s="35"/>
    </row>
    <row r="168">
      <c r="B168" s="33"/>
      <c r="C168" s="33"/>
      <c r="D168" s="48" t="s">
        <v>92</v>
      </c>
      <c r="E168" s="14">
        <v>4.0</v>
      </c>
      <c r="F168" s="17">
        <v>18000.0</v>
      </c>
      <c r="G168" s="25">
        <f t="shared" si="1"/>
        <v>72000</v>
      </c>
      <c r="H168" s="25"/>
      <c r="I168" s="14">
        <f t="shared" si="2"/>
        <v>4</v>
      </c>
      <c r="J168" s="35"/>
    </row>
    <row r="169">
      <c r="B169" s="33"/>
      <c r="C169" s="33"/>
      <c r="D169" s="14" t="s">
        <v>69</v>
      </c>
      <c r="E169" s="14">
        <v>3.0</v>
      </c>
      <c r="F169" s="17">
        <v>13000.0</v>
      </c>
      <c r="G169" s="25">
        <f t="shared" si="1"/>
        <v>39000</v>
      </c>
      <c r="H169" s="25"/>
      <c r="I169" s="14">
        <f t="shared" si="2"/>
        <v>3</v>
      </c>
      <c r="J169" s="35"/>
    </row>
    <row r="170">
      <c r="B170" s="33"/>
      <c r="C170" s="33"/>
      <c r="D170" s="14" t="s">
        <v>72</v>
      </c>
      <c r="E170" s="14">
        <v>3.0</v>
      </c>
      <c r="F170" s="17">
        <v>13000.0</v>
      </c>
      <c r="G170" s="25">
        <f t="shared" si="1"/>
        <v>39000</v>
      </c>
      <c r="H170" s="25"/>
      <c r="I170" s="14">
        <f t="shared" si="2"/>
        <v>3</v>
      </c>
      <c r="J170" s="35"/>
    </row>
    <row r="171">
      <c r="B171" s="33"/>
      <c r="C171" s="33"/>
      <c r="D171" s="14" t="s">
        <v>28</v>
      </c>
      <c r="E171" s="14">
        <v>2.0</v>
      </c>
      <c r="F171" s="17">
        <v>18000.0</v>
      </c>
      <c r="G171" s="25">
        <f t="shared" si="1"/>
        <v>36000</v>
      </c>
      <c r="H171" s="25"/>
      <c r="I171" s="14">
        <f t="shared" si="2"/>
        <v>2</v>
      </c>
      <c r="J171" s="35"/>
    </row>
    <row r="172">
      <c r="B172" s="33"/>
      <c r="C172" s="33"/>
      <c r="D172" s="14" t="s">
        <v>89</v>
      </c>
      <c r="E172" s="14">
        <v>2.0</v>
      </c>
      <c r="F172" s="17">
        <v>15000.0</v>
      </c>
      <c r="G172" s="25">
        <f t="shared" si="1"/>
        <v>30000</v>
      </c>
      <c r="H172" s="25"/>
      <c r="I172" s="14">
        <f t="shared" si="2"/>
        <v>2</v>
      </c>
      <c r="J172" s="35"/>
    </row>
    <row r="173">
      <c r="B173" s="33"/>
      <c r="C173" s="33"/>
      <c r="D173" s="14" t="s">
        <v>60</v>
      </c>
      <c r="E173" s="14">
        <v>2.0</v>
      </c>
      <c r="F173" s="17">
        <v>15000.0</v>
      </c>
      <c r="G173" s="25">
        <f t="shared" si="1"/>
        <v>30000</v>
      </c>
      <c r="H173" s="25"/>
      <c r="I173" s="14">
        <f t="shared" si="2"/>
        <v>2</v>
      </c>
      <c r="J173" s="35"/>
    </row>
    <row r="174">
      <c r="B174" s="33"/>
      <c r="C174" s="33"/>
      <c r="D174" s="48" t="s">
        <v>90</v>
      </c>
      <c r="E174" s="14">
        <v>1.0</v>
      </c>
      <c r="F174" s="17">
        <v>18000.0</v>
      </c>
      <c r="G174" s="25">
        <f t="shared" si="1"/>
        <v>18000</v>
      </c>
      <c r="H174" s="25"/>
      <c r="I174" s="14">
        <f t="shared" si="2"/>
        <v>1</v>
      </c>
      <c r="J174" s="35"/>
    </row>
    <row r="175">
      <c r="B175" s="33"/>
      <c r="C175" s="33"/>
      <c r="D175" s="14" t="s">
        <v>77</v>
      </c>
      <c r="E175" s="14">
        <v>1.0</v>
      </c>
      <c r="F175" s="17">
        <v>15000.0</v>
      </c>
      <c r="G175" s="25">
        <f t="shared" si="1"/>
        <v>15000</v>
      </c>
      <c r="H175" s="25"/>
      <c r="I175" s="14">
        <f t="shared" si="2"/>
        <v>1</v>
      </c>
      <c r="J175" s="13"/>
    </row>
    <row r="176">
      <c r="B176" s="9" t="s">
        <v>150</v>
      </c>
      <c r="C176" s="23">
        <v>45713.0</v>
      </c>
      <c r="D176" s="14" t="s">
        <v>77</v>
      </c>
      <c r="E176" s="14">
        <v>6.0</v>
      </c>
      <c r="F176" s="17">
        <v>15000.0</v>
      </c>
      <c r="G176" s="25">
        <f t="shared" si="1"/>
        <v>90000</v>
      </c>
      <c r="H176" s="25"/>
      <c r="I176" s="14">
        <f t="shared" si="2"/>
        <v>6</v>
      </c>
      <c r="J176" s="87">
        <f>SUM(I176:I185)</f>
        <v>25</v>
      </c>
    </row>
    <row r="177">
      <c r="B177" s="33"/>
      <c r="C177" s="33"/>
      <c r="D177" s="14" t="s">
        <v>52</v>
      </c>
      <c r="E177" s="14">
        <v>4.0</v>
      </c>
      <c r="F177" s="17">
        <v>5000.0</v>
      </c>
      <c r="G177" s="25">
        <f t="shared" si="1"/>
        <v>20000</v>
      </c>
      <c r="H177" s="25"/>
      <c r="I177" s="14">
        <f t="shared" si="2"/>
        <v>4</v>
      </c>
      <c r="J177" s="35"/>
    </row>
    <row r="178">
      <c r="B178" s="33"/>
      <c r="C178" s="33"/>
      <c r="D178" s="14" t="s">
        <v>62</v>
      </c>
      <c r="E178" s="14">
        <v>3.0</v>
      </c>
      <c r="F178" s="17">
        <v>15000.0</v>
      </c>
      <c r="G178" s="25">
        <f t="shared" si="1"/>
        <v>45000</v>
      </c>
      <c r="H178" s="25"/>
      <c r="I178" s="14">
        <f t="shared" si="2"/>
        <v>3</v>
      </c>
      <c r="J178" s="35"/>
    </row>
    <row r="179">
      <c r="B179" s="33"/>
      <c r="C179" s="33"/>
      <c r="D179" s="14" t="s">
        <v>17</v>
      </c>
      <c r="E179" s="14">
        <v>3.0</v>
      </c>
      <c r="F179" s="17">
        <v>18000.0</v>
      </c>
      <c r="G179" s="25">
        <f t="shared" si="1"/>
        <v>54000</v>
      </c>
      <c r="H179" s="25"/>
      <c r="I179" s="14">
        <f t="shared" si="2"/>
        <v>3</v>
      </c>
      <c r="J179" s="35"/>
    </row>
    <row r="180">
      <c r="B180" s="33"/>
      <c r="C180" s="33"/>
      <c r="D180" s="14" t="s">
        <v>60</v>
      </c>
      <c r="E180" s="14">
        <v>3.0</v>
      </c>
      <c r="F180" s="17">
        <v>15000.0</v>
      </c>
      <c r="G180" s="25">
        <f t="shared" si="1"/>
        <v>45000</v>
      </c>
      <c r="H180" s="25"/>
      <c r="I180" s="14">
        <f t="shared" si="2"/>
        <v>3</v>
      </c>
      <c r="J180" s="35"/>
    </row>
    <row r="181">
      <c r="B181" s="33"/>
      <c r="C181" s="33"/>
      <c r="D181" s="14" t="s">
        <v>56</v>
      </c>
      <c r="E181" s="14">
        <v>2.0</v>
      </c>
      <c r="F181" s="17">
        <v>15000.0</v>
      </c>
      <c r="G181" s="25">
        <f t="shared" si="1"/>
        <v>30000</v>
      </c>
      <c r="H181" s="25"/>
      <c r="I181" s="14">
        <f t="shared" si="2"/>
        <v>2</v>
      </c>
      <c r="J181" s="35"/>
    </row>
    <row r="182">
      <c r="B182" s="33"/>
      <c r="C182" s="33"/>
      <c r="D182" s="14" t="s">
        <v>53</v>
      </c>
      <c r="E182" s="14">
        <v>1.0</v>
      </c>
      <c r="F182" s="17">
        <v>15000.0</v>
      </c>
      <c r="G182" s="25">
        <f t="shared" si="1"/>
        <v>15000</v>
      </c>
      <c r="H182" s="25"/>
      <c r="I182" s="14">
        <f t="shared" si="2"/>
        <v>1</v>
      </c>
      <c r="J182" s="35"/>
    </row>
    <row r="183">
      <c r="B183" s="33"/>
      <c r="C183" s="33"/>
      <c r="D183" s="14" t="s">
        <v>76</v>
      </c>
      <c r="E183" s="14">
        <v>1.0</v>
      </c>
      <c r="F183" s="17">
        <v>10000.0</v>
      </c>
      <c r="G183" s="25">
        <f t="shared" si="1"/>
        <v>10000</v>
      </c>
      <c r="H183" s="25"/>
      <c r="I183" s="14">
        <f t="shared" si="2"/>
        <v>1</v>
      </c>
      <c r="J183" s="35"/>
    </row>
    <row r="184">
      <c r="B184" s="33"/>
      <c r="C184" s="33"/>
      <c r="D184" s="14" t="s">
        <v>107</v>
      </c>
      <c r="E184" s="14">
        <v>1.0</v>
      </c>
      <c r="F184" s="17">
        <v>18000.0</v>
      </c>
      <c r="G184" s="25">
        <f t="shared" si="1"/>
        <v>18000</v>
      </c>
      <c r="H184" s="25"/>
      <c r="I184" s="14">
        <f t="shared" si="2"/>
        <v>1</v>
      </c>
      <c r="J184" s="35"/>
    </row>
    <row r="185">
      <c r="B185" s="33"/>
      <c r="C185" s="33"/>
      <c r="D185" s="14" t="s">
        <v>65</v>
      </c>
      <c r="E185" s="14">
        <v>1.0</v>
      </c>
      <c r="F185" s="17">
        <v>13000.0</v>
      </c>
      <c r="G185" s="25">
        <f t="shared" si="1"/>
        <v>13000</v>
      </c>
      <c r="H185" s="25"/>
      <c r="I185" s="14">
        <f t="shared" si="2"/>
        <v>1</v>
      </c>
      <c r="J185" s="13"/>
    </row>
    <row r="186">
      <c r="B186" s="9" t="s">
        <v>151</v>
      </c>
      <c r="C186" s="23">
        <v>45714.0</v>
      </c>
      <c r="D186" s="14" t="s">
        <v>52</v>
      </c>
      <c r="E186" s="14">
        <v>10.0</v>
      </c>
      <c r="F186" s="17">
        <v>5000.0</v>
      </c>
      <c r="G186" s="25">
        <f t="shared" si="1"/>
        <v>50000</v>
      </c>
      <c r="H186" s="25"/>
      <c r="I186" s="14">
        <f t="shared" si="2"/>
        <v>10</v>
      </c>
      <c r="J186" s="29">
        <f>SUM(I186:I201)</f>
        <v>52</v>
      </c>
      <c r="K186" s="14" t="s">
        <v>70</v>
      </c>
      <c r="L186" s="14">
        <v>1.0</v>
      </c>
      <c r="M186" s="17">
        <v>8000.0</v>
      </c>
      <c r="N186" s="25">
        <f>M186*L186</f>
        <v>8000</v>
      </c>
      <c r="O186" s="25">
        <f>L186</f>
        <v>1</v>
      </c>
    </row>
    <row r="187">
      <c r="B187" s="33"/>
      <c r="C187" s="33"/>
      <c r="D187" s="14" t="s">
        <v>77</v>
      </c>
      <c r="E187" s="14">
        <v>6.0</v>
      </c>
      <c r="F187" s="17">
        <v>15000.0</v>
      </c>
      <c r="G187" s="25">
        <f t="shared" si="1"/>
        <v>90000</v>
      </c>
      <c r="H187" s="25"/>
      <c r="I187" s="14">
        <f t="shared" si="2"/>
        <v>6</v>
      </c>
      <c r="J187" s="35"/>
    </row>
    <row r="188">
      <c r="B188" s="33"/>
      <c r="C188" s="33"/>
      <c r="D188" s="14" t="s">
        <v>17</v>
      </c>
      <c r="E188" s="14">
        <v>6.0</v>
      </c>
      <c r="F188" s="17">
        <v>18000.0</v>
      </c>
      <c r="G188" s="25">
        <f t="shared" si="1"/>
        <v>108000</v>
      </c>
      <c r="H188" s="25"/>
      <c r="I188" s="14">
        <f t="shared" si="2"/>
        <v>6</v>
      </c>
      <c r="J188" s="35"/>
    </row>
    <row r="189">
      <c r="B189" s="33"/>
      <c r="C189" s="33"/>
      <c r="D189" s="14" t="s">
        <v>76</v>
      </c>
      <c r="E189" s="14">
        <v>5.0</v>
      </c>
      <c r="F189" s="17">
        <v>10000.0</v>
      </c>
      <c r="G189" s="25">
        <f t="shared" si="1"/>
        <v>50000</v>
      </c>
      <c r="H189" s="25"/>
      <c r="I189" s="14">
        <f t="shared" si="2"/>
        <v>5</v>
      </c>
      <c r="J189" s="35"/>
    </row>
    <row r="190">
      <c r="B190" s="33"/>
      <c r="C190" s="33"/>
      <c r="D190" s="14" t="s">
        <v>56</v>
      </c>
      <c r="E190" s="14">
        <v>5.0</v>
      </c>
      <c r="F190" s="17">
        <v>15000.0</v>
      </c>
      <c r="G190" s="25">
        <f t="shared" si="1"/>
        <v>75000</v>
      </c>
      <c r="H190" s="25"/>
      <c r="I190" s="14">
        <f t="shared" si="2"/>
        <v>5</v>
      </c>
      <c r="J190" s="35"/>
    </row>
    <row r="191">
      <c r="B191" s="33"/>
      <c r="C191" s="33"/>
      <c r="D191" s="14" t="s">
        <v>68</v>
      </c>
      <c r="E191" s="14">
        <v>3.0</v>
      </c>
      <c r="F191" s="17">
        <v>13000.0</v>
      </c>
      <c r="G191" s="25">
        <f t="shared" si="1"/>
        <v>39000</v>
      </c>
      <c r="H191" s="25"/>
      <c r="I191" s="14">
        <f t="shared" si="2"/>
        <v>3</v>
      </c>
      <c r="J191" s="35"/>
    </row>
    <row r="192">
      <c r="B192" s="33"/>
      <c r="C192" s="33"/>
      <c r="D192" s="14" t="s">
        <v>89</v>
      </c>
      <c r="E192" s="14">
        <v>2.0</v>
      </c>
      <c r="F192" s="17">
        <v>15000.0</v>
      </c>
      <c r="G192" s="25">
        <f t="shared" si="1"/>
        <v>30000</v>
      </c>
      <c r="H192" s="25"/>
      <c r="I192" s="14">
        <f t="shared" si="2"/>
        <v>2</v>
      </c>
      <c r="J192" s="35"/>
    </row>
    <row r="193">
      <c r="B193" s="33"/>
      <c r="C193" s="33"/>
      <c r="D193" s="14" t="s">
        <v>101</v>
      </c>
      <c r="E193" s="14">
        <v>2.0</v>
      </c>
      <c r="F193" s="17">
        <v>13000.0</v>
      </c>
      <c r="G193" s="25">
        <f t="shared" si="1"/>
        <v>26000</v>
      </c>
      <c r="H193" s="25"/>
      <c r="I193" s="14">
        <f t="shared" si="2"/>
        <v>2</v>
      </c>
      <c r="J193" s="35"/>
    </row>
    <row r="194">
      <c r="B194" s="33"/>
      <c r="C194" s="33"/>
      <c r="D194" s="48" t="s">
        <v>90</v>
      </c>
      <c r="E194" s="14">
        <v>2.0</v>
      </c>
      <c r="F194" s="17">
        <v>18000.0</v>
      </c>
      <c r="G194" s="25">
        <f t="shared" si="1"/>
        <v>36000</v>
      </c>
      <c r="H194" s="25"/>
      <c r="I194" s="14">
        <f t="shared" si="2"/>
        <v>2</v>
      </c>
      <c r="J194" s="35"/>
    </row>
    <row r="195">
      <c r="B195" s="33"/>
      <c r="C195" s="33"/>
      <c r="D195" s="48" t="s">
        <v>92</v>
      </c>
      <c r="E195" s="14">
        <v>2.0</v>
      </c>
      <c r="F195" s="17">
        <v>18000.0</v>
      </c>
      <c r="G195" s="25">
        <f t="shared" si="1"/>
        <v>36000</v>
      </c>
      <c r="H195" s="25"/>
      <c r="I195" s="14">
        <f t="shared" si="2"/>
        <v>2</v>
      </c>
      <c r="J195" s="35"/>
    </row>
    <row r="196">
      <c r="B196" s="33"/>
      <c r="C196" s="33"/>
      <c r="D196" s="14" t="s">
        <v>60</v>
      </c>
      <c r="E196" s="14">
        <v>2.0</v>
      </c>
      <c r="F196" s="17">
        <v>15000.0</v>
      </c>
      <c r="G196" s="25">
        <f t="shared" si="1"/>
        <v>30000</v>
      </c>
      <c r="H196" s="25"/>
      <c r="I196" s="14">
        <f t="shared" si="2"/>
        <v>2</v>
      </c>
      <c r="J196" s="35"/>
    </row>
    <row r="197">
      <c r="B197" s="33"/>
      <c r="C197" s="33"/>
      <c r="D197" s="14" t="s">
        <v>62</v>
      </c>
      <c r="E197" s="14">
        <v>2.0</v>
      </c>
      <c r="F197" s="17">
        <v>15000.0</v>
      </c>
      <c r="G197" s="25">
        <f t="shared" si="1"/>
        <v>30000</v>
      </c>
      <c r="H197" s="25"/>
      <c r="I197" s="14">
        <f t="shared" si="2"/>
        <v>2</v>
      </c>
      <c r="J197" s="35"/>
    </row>
    <row r="198">
      <c r="B198" s="33"/>
      <c r="C198" s="33"/>
      <c r="D198" s="14" t="s">
        <v>65</v>
      </c>
      <c r="E198" s="14">
        <v>1.0</v>
      </c>
      <c r="F198" s="17">
        <v>13000.0</v>
      </c>
      <c r="G198" s="25">
        <f t="shared" si="1"/>
        <v>13000</v>
      </c>
      <c r="H198" s="25"/>
      <c r="I198" s="14">
        <f t="shared" si="2"/>
        <v>1</v>
      </c>
      <c r="J198" s="35"/>
    </row>
    <row r="199">
      <c r="B199" s="33"/>
      <c r="C199" s="33"/>
      <c r="D199" s="14" t="s">
        <v>59</v>
      </c>
      <c r="E199" s="14">
        <v>1.0</v>
      </c>
      <c r="F199" s="17">
        <v>10000.0</v>
      </c>
      <c r="G199" s="25">
        <f t="shared" si="1"/>
        <v>10000</v>
      </c>
      <c r="H199" s="25"/>
      <c r="I199" s="14">
        <f t="shared" si="2"/>
        <v>1</v>
      </c>
      <c r="J199" s="35"/>
    </row>
    <row r="200">
      <c r="B200" s="33"/>
      <c r="C200" s="33"/>
      <c r="D200" s="14" t="s">
        <v>72</v>
      </c>
      <c r="E200" s="14">
        <v>1.0</v>
      </c>
      <c r="F200" s="17">
        <v>13000.0</v>
      </c>
      <c r="G200" s="25">
        <f t="shared" si="1"/>
        <v>13000</v>
      </c>
      <c r="H200" s="25"/>
      <c r="I200" s="14">
        <f t="shared" si="2"/>
        <v>1</v>
      </c>
      <c r="J200" s="35"/>
    </row>
    <row r="201">
      <c r="B201" s="33"/>
      <c r="C201" s="33"/>
      <c r="D201" s="14" t="s">
        <v>71</v>
      </c>
      <c r="E201" s="14">
        <v>2.0</v>
      </c>
      <c r="F201" s="17">
        <v>18000.0</v>
      </c>
      <c r="G201" s="25">
        <f t="shared" si="1"/>
        <v>36000</v>
      </c>
      <c r="H201" s="25"/>
      <c r="I201" s="14">
        <f t="shared" si="2"/>
        <v>2</v>
      </c>
      <c r="J201" s="13"/>
    </row>
    <row r="202">
      <c r="B202" s="9" t="s">
        <v>152</v>
      </c>
      <c r="C202" s="23">
        <v>45715.0</v>
      </c>
      <c r="D202" s="14" t="s">
        <v>17</v>
      </c>
      <c r="E202" s="14">
        <v>15.0</v>
      </c>
      <c r="F202" s="17">
        <v>18000.0</v>
      </c>
      <c r="G202" s="25">
        <f t="shared" si="1"/>
        <v>270000</v>
      </c>
      <c r="H202" s="25"/>
      <c r="I202" s="14">
        <f t="shared" si="2"/>
        <v>15</v>
      </c>
      <c r="J202" s="29">
        <f>SUM(I202:I218)</f>
        <v>71</v>
      </c>
      <c r="K202" s="14" t="s">
        <v>158</v>
      </c>
      <c r="L202" s="14">
        <v>1.0</v>
      </c>
      <c r="M202" s="17">
        <v>5000.0</v>
      </c>
      <c r="N202" s="25">
        <f>M202*L202</f>
        <v>5000</v>
      </c>
      <c r="O202" s="25">
        <f>L202</f>
        <v>1</v>
      </c>
    </row>
    <row r="203">
      <c r="B203" s="25"/>
      <c r="C203" s="25"/>
      <c r="D203" s="14" t="s">
        <v>56</v>
      </c>
      <c r="E203" s="14">
        <v>8.0</v>
      </c>
      <c r="F203" s="17">
        <v>15000.0</v>
      </c>
      <c r="G203" s="25">
        <f t="shared" si="1"/>
        <v>120000</v>
      </c>
      <c r="H203" s="25"/>
      <c r="I203" s="14">
        <f t="shared" si="2"/>
        <v>8</v>
      </c>
      <c r="J203" s="35"/>
    </row>
    <row r="204">
      <c r="B204" s="25"/>
      <c r="C204" s="25"/>
      <c r="D204" s="14" t="s">
        <v>72</v>
      </c>
      <c r="E204" s="14">
        <v>7.0</v>
      </c>
      <c r="F204" s="17">
        <v>13000.0</v>
      </c>
      <c r="G204" s="25">
        <f t="shared" si="1"/>
        <v>91000</v>
      </c>
      <c r="H204" s="25"/>
      <c r="I204" s="14">
        <f t="shared" si="2"/>
        <v>7</v>
      </c>
      <c r="J204" s="35"/>
    </row>
    <row r="205">
      <c r="B205" s="25"/>
      <c r="C205" s="25"/>
      <c r="D205" s="14" t="s">
        <v>60</v>
      </c>
      <c r="E205" s="14">
        <v>7.0</v>
      </c>
      <c r="F205" s="17">
        <v>15000.0</v>
      </c>
      <c r="G205" s="25">
        <f t="shared" si="1"/>
        <v>105000</v>
      </c>
      <c r="H205" s="25"/>
      <c r="I205" s="14">
        <f t="shared" si="2"/>
        <v>7</v>
      </c>
      <c r="J205" s="35"/>
    </row>
    <row r="206">
      <c r="B206" s="25"/>
      <c r="C206" s="25"/>
      <c r="D206" s="14" t="s">
        <v>77</v>
      </c>
      <c r="E206" s="14">
        <v>5.0</v>
      </c>
      <c r="F206" s="17">
        <v>15000.0</v>
      </c>
      <c r="G206" s="25">
        <f t="shared" si="1"/>
        <v>75000</v>
      </c>
      <c r="H206" s="25"/>
      <c r="I206" s="14">
        <f t="shared" si="2"/>
        <v>5</v>
      </c>
      <c r="J206" s="35"/>
    </row>
    <row r="207">
      <c r="B207" s="25"/>
      <c r="C207" s="25"/>
      <c r="D207" s="14" t="s">
        <v>52</v>
      </c>
      <c r="E207" s="14">
        <v>5.0</v>
      </c>
      <c r="F207" s="17">
        <v>5000.0</v>
      </c>
      <c r="G207" s="25">
        <f t="shared" si="1"/>
        <v>25000</v>
      </c>
      <c r="H207" s="25"/>
      <c r="I207" s="14">
        <f t="shared" si="2"/>
        <v>5</v>
      </c>
      <c r="J207" s="35"/>
    </row>
    <row r="208">
      <c r="B208" s="25"/>
      <c r="C208" s="25"/>
      <c r="D208" s="14" t="s">
        <v>65</v>
      </c>
      <c r="E208" s="14">
        <v>4.0</v>
      </c>
      <c r="F208" s="17">
        <v>13000.0</v>
      </c>
      <c r="G208" s="25">
        <f t="shared" si="1"/>
        <v>52000</v>
      </c>
      <c r="H208" s="25"/>
      <c r="I208" s="14">
        <f t="shared" si="2"/>
        <v>4</v>
      </c>
      <c r="J208" s="35"/>
    </row>
    <row r="209">
      <c r="B209" s="25"/>
      <c r="C209" s="25"/>
      <c r="D209" s="14" t="s">
        <v>89</v>
      </c>
      <c r="E209" s="14">
        <v>4.0</v>
      </c>
      <c r="F209" s="17">
        <v>15000.0</v>
      </c>
      <c r="G209" s="25">
        <f t="shared" si="1"/>
        <v>60000</v>
      </c>
      <c r="H209" s="25"/>
      <c r="I209" s="14">
        <f t="shared" si="2"/>
        <v>4</v>
      </c>
      <c r="J209" s="35"/>
    </row>
    <row r="210">
      <c r="B210" s="25"/>
      <c r="C210" s="25"/>
      <c r="D210" s="14" t="s">
        <v>109</v>
      </c>
      <c r="E210" s="14">
        <v>3.0</v>
      </c>
      <c r="F210" s="17">
        <v>18000.0</v>
      </c>
      <c r="G210" s="25">
        <f t="shared" si="1"/>
        <v>54000</v>
      </c>
      <c r="H210" s="25"/>
      <c r="I210" s="14">
        <f t="shared" si="2"/>
        <v>3</v>
      </c>
      <c r="J210" s="35"/>
    </row>
    <row r="211">
      <c r="B211" s="25"/>
      <c r="C211" s="25"/>
      <c r="D211" s="14" t="s">
        <v>69</v>
      </c>
      <c r="E211" s="14">
        <v>3.0</v>
      </c>
      <c r="F211" s="17">
        <v>13000.0</v>
      </c>
      <c r="G211" s="25">
        <f t="shared" si="1"/>
        <v>39000</v>
      </c>
      <c r="H211" s="25"/>
      <c r="I211" s="14">
        <f t="shared" si="2"/>
        <v>3</v>
      </c>
      <c r="J211" s="35"/>
    </row>
    <row r="212">
      <c r="B212" s="25"/>
      <c r="C212" s="25"/>
      <c r="D212" s="14" t="s">
        <v>71</v>
      </c>
      <c r="E212" s="14">
        <v>2.0</v>
      </c>
      <c r="F212" s="17">
        <v>18000.0</v>
      </c>
      <c r="G212" s="25">
        <f t="shared" si="1"/>
        <v>36000</v>
      </c>
      <c r="H212" s="25"/>
      <c r="I212" s="14">
        <f t="shared" si="2"/>
        <v>2</v>
      </c>
      <c r="J212" s="35"/>
    </row>
    <row r="213">
      <c r="B213" s="25"/>
      <c r="C213" s="25"/>
      <c r="D213" s="14" t="s">
        <v>76</v>
      </c>
      <c r="E213" s="14">
        <v>2.0</v>
      </c>
      <c r="F213" s="17">
        <v>10000.0</v>
      </c>
      <c r="G213" s="25">
        <f t="shared" si="1"/>
        <v>20000</v>
      </c>
      <c r="H213" s="25"/>
      <c r="I213" s="14">
        <f t="shared" si="2"/>
        <v>2</v>
      </c>
      <c r="J213" s="35"/>
    </row>
    <row r="214">
      <c r="B214" s="25"/>
      <c r="C214" s="25"/>
      <c r="D214" s="14" t="s">
        <v>101</v>
      </c>
      <c r="E214" s="14">
        <v>2.0</v>
      </c>
      <c r="F214" s="17">
        <v>13000.0</v>
      </c>
      <c r="G214" s="25">
        <f t="shared" si="1"/>
        <v>26000</v>
      </c>
      <c r="H214" s="25"/>
      <c r="I214" s="14">
        <f t="shared" si="2"/>
        <v>2</v>
      </c>
      <c r="J214" s="35"/>
    </row>
    <row r="215">
      <c r="B215" s="25"/>
      <c r="C215" s="25"/>
      <c r="D215" s="14" t="s">
        <v>53</v>
      </c>
      <c r="E215" s="14">
        <v>1.0</v>
      </c>
      <c r="F215" s="17">
        <v>15000.0</v>
      </c>
      <c r="G215" s="25">
        <f t="shared" si="1"/>
        <v>15000</v>
      </c>
      <c r="H215" s="25"/>
      <c r="I215" s="14">
        <f t="shared" si="2"/>
        <v>1</v>
      </c>
      <c r="J215" s="35"/>
    </row>
    <row r="216">
      <c r="B216" s="25"/>
      <c r="C216" s="25"/>
      <c r="D216" s="14" t="s">
        <v>62</v>
      </c>
      <c r="E216" s="14">
        <v>1.0</v>
      </c>
      <c r="F216" s="17">
        <v>15000.0</v>
      </c>
      <c r="G216" s="25">
        <f t="shared" si="1"/>
        <v>15000</v>
      </c>
      <c r="H216" s="25"/>
      <c r="I216" s="14">
        <f t="shared" si="2"/>
        <v>1</v>
      </c>
      <c r="J216" s="35"/>
    </row>
    <row r="217">
      <c r="B217" s="25"/>
      <c r="C217" s="25"/>
      <c r="D217" s="14" t="s">
        <v>59</v>
      </c>
      <c r="E217" s="14">
        <v>1.0</v>
      </c>
      <c r="F217" s="17">
        <v>10000.0</v>
      </c>
      <c r="G217" s="25">
        <f t="shared" si="1"/>
        <v>10000</v>
      </c>
      <c r="H217" s="25"/>
      <c r="I217" s="14">
        <f t="shared" si="2"/>
        <v>1</v>
      </c>
      <c r="J217" s="35"/>
    </row>
    <row r="218">
      <c r="B218" s="25"/>
      <c r="C218" s="25"/>
      <c r="D218" s="14" t="s">
        <v>107</v>
      </c>
      <c r="E218" s="14">
        <v>1.0</v>
      </c>
      <c r="F218" s="17">
        <v>18000.0</v>
      </c>
      <c r="G218" s="25">
        <f t="shared" si="1"/>
        <v>18000</v>
      </c>
      <c r="H218" s="25"/>
      <c r="I218" s="14">
        <f t="shared" si="2"/>
        <v>1</v>
      </c>
      <c r="J218" s="13"/>
    </row>
    <row r="219">
      <c r="B219" s="9" t="s">
        <v>154</v>
      </c>
      <c r="C219" s="23">
        <v>45716.0</v>
      </c>
      <c r="D219" s="14" t="s">
        <v>60</v>
      </c>
      <c r="E219" s="14">
        <v>10.0</v>
      </c>
      <c r="F219" s="17">
        <v>15000.0</v>
      </c>
      <c r="G219" s="14">
        <f t="shared" si="1"/>
        <v>150000</v>
      </c>
      <c r="H219" s="25"/>
      <c r="I219" s="14">
        <f t="shared" si="2"/>
        <v>10</v>
      </c>
      <c r="J219" s="29">
        <f>SUM(I219:I232)</f>
        <v>45</v>
      </c>
    </row>
    <row r="220">
      <c r="B220" s="33"/>
      <c r="C220" s="33"/>
      <c r="D220" s="14" t="s">
        <v>17</v>
      </c>
      <c r="E220" s="14">
        <v>6.0</v>
      </c>
      <c r="F220" s="17">
        <v>18000.0</v>
      </c>
      <c r="G220" s="14">
        <f t="shared" si="1"/>
        <v>108000</v>
      </c>
      <c r="H220" s="25"/>
      <c r="I220" s="14">
        <f t="shared" si="2"/>
        <v>6</v>
      </c>
      <c r="J220" s="35"/>
    </row>
    <row r="221">
      <c r="B221" s="33"/>
      <c r="C221" s="33"/>
      <c r="D221" s="14" t="s">
        <v>56</v>
      </c>
      <c r="E221" s="14">
        <v>4.0</v>
      </c>
      <c r="F221" s="17">
        <v>15000.0</v>
      </c>
      <c r="G221" s="14">
        <f t="shared" si="1"/>
        <v>60000</v>
      </c>
      <c r="H221" s="25"/>
      <c r="I221" s="14">
        <f t="shared" si="2"/>
        <v>4</v>
      </c>
      <c r="J221" s="35"/>
    </row>
    <row r="222">
      <c r="B222" s="33"/>
      <c r="C222" s="33"/>
      <c r="D222" s="14" t="s">
        <v>68</v>
      </c>
      <c r="E222" s="14">
        <v>4.0</v>
      </c>
      <c r="F222" s="17">
        <v>13000.0</v>
      </c>
      <c r="G222" s="14">
        <f t="shared" si="1"/>
        <v>52000</v>
      </c>
      <c r="H222" s="25"/>
      <c r="I222" s="14">
        <f t="shared" si="2"/>
        <v>4</v>
      </c>
      <c r="J222" s="35"/>
    </row>
    <row r="223">
      <c r="B223" s="33"/>
      <c r="C223" s="33"/>
      <c r="D223" s="14" t="s">
        <v>52</v>
      </c>
      <c r="E223" s="14">
        <v>3.0</v>
      </c>
      <c r="F223" s="17">
        <v>5000.0</v>
      </c>
      <c r="G223" s="14">
        <f t="shared" si="1"/>
        <v>15000</v>
      </c>
      <c r="H223" s="25"/>
      <c r="I223" s="14">
        <f t="shared" si="2"/>
        <v>3</v>
      </c>
      <c r="J223" s="35"/>
    </row>
    <row r="224">
      <c r="B224" s="33"/>
      <c r="C224" s="33"/>
      <c r="D224" s="14" t="s">
        <v>65</v>
      </c>
      <c r="E224" s="14">
        <v>3.0</v>
      </c>
      <c r="F224" s="17">
        <v>13000.0</v>
      </c>
      <c r="G224" s="14">
        <f t="shared" si="1"/>
        <v>39000</v>
      </c>
      <c r="H224" s="25"/>
      <c r="I224" s="14">
        <f t="shared" si="2"/>
        <v>3</v>
      </c>
      <c r="J224" s="35"/>
    </row>
    <row r="225">
      <c r="B225" s="33"/>
      <c r="C225" s="33"/>
      <c r="D225" s="14" t="s">
        <v>101</v>
      </c>
      <c r="E225" s="14">
        <v>3.0</v>
      </c>
      <c r="F225" s="17">
        <v>13000.0</v>
      </c>
      <c r="G225" s="14">
        <f t="shared" si="1"/>
        <v>39000</v>
      </c>
      <c r="H225" s="25"/>
      <c r="I225" s="14">
        <f t="shared" si="2"/>
        <v>3</v>
      </c>
      <c r="J225" s="35"/>
    </row>
    <row r="226">
      <c r="B226" s="33"/>
      <c r="C226" s="33"/>
      <c r="D226" s="14" t="s">
        <v>77</v>
      </c>
      <c r="E226" s="14">
        <v>3.0</v>
      </c>
      <c r="F226" s="17">
        <v>15000.0</v>
      </c>
      <c r="G226" s="14">
        <f t="shared" si="1"/>
        <v>45000</v>
      </c>
      <c r="H226" s="25"/>
      <c r="I226" s="14">
        <f t="shared" si="2"/>
        <v>3</v>
      </c>
      <c r="J226" s="35"/>
    </row>
    <row r="227">
      <c r="B227" s="33"/>
      <c r="C227" s="33"/>
      <c r="D227" s="14" t="s">
        <v>76</v>
      </c>
      <c r="E227" s="14">
        <v>2.0</v>
      </c>
      <c r="F227" s="17">
        <v>10000.0</v>
      </c>
      <c r="G227" s="14">
        <f t="shared" si="1"/>
        <v>20000</v>
      </c>
      <c r="H227" s="25"/>
      <c r="I227" s="14">
        <f t="shared" si="2"/>
        <v>2</v>
      </c>
      <c r="J227" s="35"/>
    </row>
    <row r="228">
      <c r="B228" s="33"/>
      <c r="C228" s="33"/>
      <c r="D228" s="14" t="s">
        <v>72</v>
      </c>
      <c r="E228" s="14">
        <v>2.0</v>
      </c>
      <c r="F228" s="17">
        <v>13000.0</v>
      </c>
      <c r="G228" s="14">
        <f t="shared" si="1"/>
        <v>26000</v>
      </c>
      <c r="H228" s="25"/>
      <c r="I228" s="14">
        <f t="shared" si="2"/>
        <v>2</v>
      </c>
      <c r="J228" s="35"/>
    </row>
    <row r="229">
      <c r="B229" s="33"/>
      <c r="C229" s="33"/>
      <c r="D229" s="14" t="s">
        <v>53</v>
      </c>
      <c r="E229" s="14">
        <v>2.0</v>
      </c>
      <c r="F229" s="17">
        <v>15000.0</v>
      </c>
      <c r="G229" s="14">
        <f t="shared" si="1"/>
        <v>30000</v>
      </c>
      <c r="H229" s="25"/>
      <c r="I229" s="14">
        <f t="shared" si="2"/>
        <v>2</v>
      </c>
      <c r="J229" s="35"/>
    </row>
    <row r="230">
      <c r="B230" s="33"/>
      <c r="C230" s="33"/>
      <c r="D230" s="14" t="s">
        <v>59</v>
      </c>
      <c r="E230" s="14">
        <v>1.0</v>
      </c>
      <c r="F230" s="17">
        <v>10000.0</v>
      </c>
      <c r="G230" s="14">
        <f t="shared" si="1"/>
        <v>10000</v>
      </c>
      <c r="H230" s="25"/>
      <c r="I230" s="14">
        <f t="shared" si="2"/>
        <v>1</v>
      </c>
      <c r="J230" s="35"/>
    </row>
    <row r="231">
      <c r="B231" s="33"/>
      <c r="C231" s="33"/>
      <c r="D231" s="14" t="s">
        <v>28</v>
      </c>
      <c r="E231" s="14">
        <v>1.0</v>
      </c>
      <c r="F231" s="17">
        <v>15000.0</v>
      </c>
      <c r="G231" s="14">
        <f t="shared" si="1"/>
        <v>15000</v>
      </c>
      <c r="H231" s="25"/>
      <c r="I231" s="14">
        <f t="shared" si="2"/>
        <v>1</v>
      </c>
      <c r="J231" s="35"/>
    </row>
    <row r="232">
      <c r="B232" s="33"/>
      <c r="C232" s="33"/>
      <c r="D232" s="14" t="s">
        <v>89</v>
      </c>
      <c r="E232" s="14">
        <v>1.0</v>
      </c>
      <c r="F232" s="17">
        <v>15000.0</v>
      </c>
      <c r="G232" s="14">
        <f t="shared" si="1"/>
        <v>15000</v>
      </c>
      <c r="H232" s="25"/>
      <c r="I232" s="14">
        <f t="shared" si="2"/>
        <v>1</v>
      </c>
      <c r="J232" s="13"/>
    </row>
  </sheetData>
  <mergeCells count="22">
    <mergeCell ref="J45:J51"/>
    <mergeCell ref="O52:O53"/>
    <mergeCell ref="J4:J12"/>
    <mergeCell ref="J13:J23"/>
    <mergeCell ref="J24:J29"/>
    <mergeCell ref="J30:J35"/>
    <mergeCell ref="J36:J38"/>
    <mergeCell ref="J39:J44"/>
    <mergeCell ref="J52:J68"/>
    <mergeCell ref="J163:J175"/>
    <mergeCell ref="O163:O164"/>
    <mergeCell ref="J176:J185"/>
    <mergeCell ref="J186:J201"/>
    <mergeCell ref="J202:J218"/>
    <mergeCell ref="J219:J232"/>
    <mergeCell ref="J69:J74"/>
    <mergeCell ref="J75:J90"/>
    <mergeCell ref="J91:J99"/>
    <mergeCell ref="J100:J114"/>
    <mergeCell ref="J115:J133"/>
    <mergeCell ref="J134:J147"/>
    <mergeCell ref="J148:J1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43"/>
    <col customWidth="1" min="3" max="3" width="23.29"/>
    <col customWidth="1" min="4" max="4" width="19.0"/>
    <col customWidth="1" min="9" max="9" width="14.86"/>
    <col customWidth="1" min="10" max="10" width="19.57"/>
    <col customWidth="1" min="25" max="25" width="17.86"/>
    <col customWidth="1" min="26" max="26" width="20.71"/>
  </cols>
  <sheetData>
    <row r="1">
      <c r="K1" s="1" t="s">
        <v>2</v>
      </c>
    </row>
    <row r="2">
      <c r="B2" s="3" t="s">
        <v>1</v>
      </c>
      <c r="C2" s="3" t="s">
        <v>4</v>
      </c>
      <c r="D2" s="3" t="s">
        <v>5</v>
      </c>
      <c r="E2" s="3" t="s">
        <v>7</v>
      </c>
      <c r="F2" s="3" t="s">
        <v>8</v>
      </c>
      <c r="G2" s="3" t="s">
        <v>9</v>
      </c>
      <c r="H2" s="6" t="s">
        <v>11</v>
      </c>
      <c r="I2" s="3" t="s">
        <v>12</v>
      </c>
      <c r="J2" s="3" t="s">
        <v>13</v>
      </c>
    </row>
    <row r="3">
      <c r="B3" s="9" t="s">
        <v>14</v>
      </c>
      <c r="C3" s="12">
        <v>45717.0</v>
      </c>
      <c r="D3" s="14" t="s">
        <v>17</v>
      </c>
      <c r="E3" s="14">
        <v>8.0</v>
      </c>
      <c r="F3" s="17">
        <v>18000.0</v>
      </c>
      <c r="G3" s="25">
        <f t="shared" ref="G3:G269" si="1">E3*F3</f>
        <v>144000</v>
      </c>
      <c r="H3" s="28"/>
      <c r="I3" s="25">
        <f t="shared" ref="I3:I386" si="2">E3-H3</f>
        <v>8</v>
      </c>
      <c r="J3" s="29">
        <f>SUM(I3:I17)</f>
        <v>43</v>
      </c>
      <c r="Q3" s="30" t="s">
        <v>18</v>
      </c>
      <c r="R3" s="31">
        <v>1000.0</v>
      </c>
      <c r="Y3" s="20" t="s">
        <v>22</v>
      </c>
    </row>
    <row r="4">
      <c r="B4" s="33"/>
      <c r="C4" s="33"/>
      <c r="D4" s="14" t="s">
        <v>52</v>
      </c>
      <c r="E4" s="14">
        <v>7.0</v>
      </c>
      <c r="F4" s="34">
        <v>5000.0</v>
      </c>
      <c r="G4" s="25">
        <f t="shared" si="1"/>
        <v>35000</v>
      </c>
      <c r="H4" s="28"/>
      <c r="I4" s="25">
        <f t="shared" si="2"/>
        <v>7</v>
      </c>
      <c r="J4" s="35"/>
      <c r="Q4" s="30" t="s">
        <v>48</v>
      </c>
      <c r="R4" s="36">
        <v>500.0</v>
      </c>
      <c r="T4" s="9" t="s">
        <v>49</v>
      </c>
      <c r="U4" s="9" t="s">
        <v>50</v>
      </c>
      <c r="V4" s="9" t="s">
        <v>51</v>
      </c>
      <c r="W4" s="9" t="s">
        <v>9</v>
      </c>
      <c r="Y4" s="37" t="s">
        <v>55</v>
      </c>
      <c r="Z4" s="33">
        <f>sum(W5:W9)</f>
        <v>350500</v>
      </c>
    </row>
    <row r="5">
      <c r="B5" s="33"/>
      <c r="C5" s="33"/>
      <c r="D5" s="14" t="s">
        <v>56</v>
      </c>
      <c r="E5" s="14">
        <v>6.0</v>
      </c>
      <c r="F5" s="17">
        <v>15000.0</v>
      </c>
      <c r="G5" s="25">
        <f t="shared" si="1"/>
        <v>90000</v>
      </c>
      <c r="H5" s="28"/>
      <c r="I5" s="25">
        <f t="shared" si="2"/>
        <v>6</v>
      </c>
      <c r="J5" s="35"/>
      <c r="T5" s="38">
        <v>45717.0</v>
      </c>
      <c r="U5" s="25">
        <f>'Laporan sanama februari'!P3*'laporan sanama maret'!J3</f>
        <v>43000</v>
      </c>
      <c r="V5" s="25">
        <f>'Laporan sanama februari'!P4*'laporan sanama maret'!O10</f>
        <v>500</v>
      </c>
      <c r="W5" s="25">
        <f t="shared" ref="W5:W29" si="3">SUM(U5:V5)</f>
        <v>43500</v>
      </c>
      <c r="Y5" s="37" t="s">
        <v>57</v>
      </c>
      <c r="Z5" s="33">
        <f>SUM(W10:W14)</f>
        <v>657000</v>
      </c>
    </row>
    <row r="6">
      <c r="B6" s="33"/>
      <c r="C6" s="33"/>
      <c r="D6" s="14" t="s">
        <v>59</v>
      </c>
      <c r="E6" s="14">
        <v>4.0</v>
      </c>
      <c r="F6" s="17">
        <v>10000.0</v>
      </c>
      <c r="G6" s="25">
        <f t="shared" si="1"/>
        <v>40000</v>
      </c>
      <c r="H6" s="28"/>
      <c r="I6" s="25">
        <f t="shared" si="2"/>
        <v>4</v>
      </c>
      <c r="J6" s="35"/>
      <c r="T6" s="38">
        <v>45718.0</v>
      </c>
      <c r="U6" s="25">
        <f>'Laporan sanama februari'!P3*'laporan sanama maret'!J18</f>
        <v>49000</v>
      </c>
      <c r="V6" s="25">
        <f>'Laporan sanama februari'!P4*'laporan sanama maret'!O26</f>
        <v>1000</v>
      </c>
      <c r="W6" s="25">
        <f t="shared" si="3"/>
        <v>50000</v>
      </c>
      <c r="Y6" s="37" t="s">
        <v>61</v>
      </c>
      <c r="Z6" s="33">
        <f>SUM(W15:W19)</f>
        <v>589000</v>
      </c>
    </row>
    <row r="7">
      <c r="B7" s="33"/>
      <c r="C7" s="33"/>
      <c r="D7" s="14" t="s">
        <v>62</v>
      </c>
      <c r="E7" s="14">
        <v>4.0</v>
      </c>
      <c r="F7" s="17">
        <v>15000.0</v>
      </c>
      <c r="G7" s="25">
        <f t="shared" si="1"/>
        <v>60000</v>
      </c>
      <c r="H7" s="28"/>
      <c r="I7" s="25">
        <f t="shared" si="2"/>
        <v>4</v>
      </c>
      <c r="J7" s="35"/>
      <c r="Q7" s="42" t="s">
        <v>63</v>
      </c>
      <c r="R7" s="43">
        <f>SUM(H3:H386)</f>
        <v>0</v>
      </c>
      <c r="T7" s="38">
        <v>45719.0</v>
      </c>
      <c r="U7" s="25">
        <f>'Laporan sanama februari'!P3*'laporan sanama maret'!J36</f>
        <v>55000</v>
      </c>
      <c r="V7" s="25"/>
      <c r="W7" s="25">
        <f t="shared" si="3"/>
        <v>55000</v>
      </c>
      <c r="Y7" s="37" t="s">
        <v>64</v>
      </c>
      <c r="Z7" s="33">
        <f>sum(W20:W24)</f>
        <v>627000</v>
      </c>
    </row>
    <row r="8">
      <c r="B8" s="33"/>
      <c r="C8" s="33"/>
      <c r="D8" s="14" t="s">
        <v>65</v>
      </c>
      <c r="E8" s="14">
        <v>3.0</v>
      </c>
      <c r="F8" s="17">
        <v>13000.0</v>
      </c>
      <c r="G8" s="25">
        <f t="shared" si="1"/>
        <v>39000</v>
      </c>
      <c r="H8" s="28"/>
      <c r="I8" s="25">
        <f t="shared" si="2"/>
        <v>3</v>
      </c>
      <c r="J8" s="35"/>
      <c r="T8" s="38">
        <v>45720.0</v>
      </c>
      <c r="U8" s="25">
        <f>R3*J58</f>
        <v>113000</v>
      </c>
      <c r="V8" s="25"/>
      <c r="W8" s="25">
        <f t="shared" si="3"/>
        <v>113000</v>
      </c>
      <c r="Y8" s="37" t="s">
        <v>67</v>
      </c>
      <c r="Z8" s="33">
        <f>sum(W25:W29)</f>
        <v>214000</v>
      </c>
    </row>
    <row r="9">
      <c r="B9" s="33"/>
      <c r="C9" s="33"/>
      <c r="D9" s="14" t="s">
        <v>68</v>
      </c>
      <c r="E9" s="14">
        <v>2.0</v>
      </c>
      <c r="F9" s="17">
        <v>13000.0</v>
      </c>
      <c r="G9" s="25">
        <f t="shared" si="1"/>
        <v>26000</v>
      </c>
      <c r="H9" s="28"/>
      <c r="I9" s="25">
        <f t="shared" si="2"/>
        <v>2</v>
      </c>
      <c r="J9" s="35"/>
      <c r="T9" s="38">
        <v>45721.0</v>
      </c>
      <c r="U9" s="25">
        <f>R3*J78</f>
        <v>89000</v>
      </c>
      <c r="V9" s="25"/>
      <c r="W9" s="25">
        <f t="shared" si="3"/>
        <v>89000</v>
      </c>
      <c r="Y9" s="33"/>
      <c r="Z9" s="33"/>
    </row>
    <row r="10">
      <c r="B10" s="33"/>
      <c r="C10" s="33"/>
      <c r="D10" s="14" t="s">
        <v>28</v>
      </c>
      <c r="E10" s="14">
        <v>2.0</v>
      </c>
      <c r="F10" s="17">
        <v>15000.0</v>
      </c>
      <c r="G10" s="25">
        <f t="shared" si="1"/>
        <v>30000</v>
      </c>
      <c r="H10" s="28"/>
      <c r="I10" s="25">
        <f t="shared" si="2"/>
        <v>2</v>
      </c>
      <c r="J10" s="35"/>
      <c r="K10" s="14" t="s">
        <v>70</v>
      </c>
      <c r="L10" s="14">
        <v>1.0</v>
      </c>
      <c r="M10" s="17">
        <v>8000.0</v>
      </c>
      <c r="N10" s="25">
        <f>M10*L10</f>
        <v>8000</v>
      </c>
      <c r="O10" s="25">
        <f>L10</f>
        <v>1</v>
      </c>
      <c r="T10" s="38">
        <v>45722.0</v>
      </c>
      <c r="U10" s="25">
        <f>R3*J95</f>
        <v>107000</v>
      </c>
      <c r="V10" s="25"/>
      <c r="W10" s="25">
        <f t="shared" si="3"/>
        <v>107000</v>
      </c>
    </row>
    <row r="11">
      <c r="B11" s="33"/>
      <c r="C11" s="33"/>
      <c r="D11" s="14" t="s">
        <v>53</v>
      </c>
      <c r="E11" s="14">
        <v>1.0</v>
      </c>
      <c r="F11" s="17">
        <v>15000.0</v>
      </c>
      <c r="G11" s="25">
        <f t="shared" si="1"/>
        <v>15000</v>
      </c>
      <c r="H11" s="28"/>
      <c r="I11" s="25">
        <f t="shared" si="2"/>
        <v>1</v>
      </c>
      <c r="J11" s="35"/>
      <c r="T11" s="38">
        <v>45723.0</v>
      </c>
      <c r="U11" s="25">
        <f>R3*J111</f>
        <v>125000</v>
      </c>
      <c r="V11" s="25"/>
      <c r="W11" s="25">
        <f t="shared" si="3"/>
        <v>125000</v>
      </c>
    </row>
    <row r="12">
      <c r="B12" s="33"/>
      <c r="C12" s="33"/>
      <c r="D12" s="14" t="s">
        <v>71</v>
      </c>
      <c r="E12" s="14">
        <v>1.0</v>
      </c>
      <c r="F12" s="17">
        <v>18000.0</v>
      </c>
      <c r="G12" s="25">
        <f t="shared" si="1"/>
        <v>18000</v>
      </c>
      <c r="H12" s="28"/>
      <c r="I12" s="25">
        <f t="shared" si="2"/>
        <v>1</v>
      </c>
      <c r="J12" s="35"/>
      <c r="T12" s="38">
        <v>45724.0</v>
      </c>
      <c r="U12" s="25">
        <f>R3*J128</f>
        <v>135000</v>
      </c>
      <c r="V12" s="25"/>
      <c r="W12" s="25">
        <f t="shared" si="3"/>
        <v>135000</v>
      </c>
    </row>
    <row r="13">
      <c r="B13" s="33"/>
      <c r="C13" s="33"/>
      <c r="D13" s="14" t="s">
        <v>72</v>
      </c>
      <c r="E13" s="14">
        <v>1.0</v>
      </c>
      <c r="F13" s="17">
        <v>13000.0</v>
      </c>
      <c r="G13" s="25">
        <f t="shared" si="1"/>
        <v>13000</v>
      </c>
      <c r="H13" s="28"/>
      <c r="I13" s="25">
        <f t="shared" si="2"/>
        <v>1</v>
      </c>
      <c r="J13" s="35"/>
      <c r="T13" s="38">
        <v>45725.0</v>
      </c>
      <c r="U13" s="25">
        <f>R3*J146</f>
        <v>135000</v>
      </c>
      <c r="V13" s="25"/>
      <c r="W13" s="25">
        <f t="shared" si="3"/>
        <v>135000</v>
      </c>
      <c r="Y13" s="46" t="s">
        <v>73</v>
      </c>
      <c r="Z13" s="47">
        <f>sum(Z4:Z8)</f>
        <v>2437500</v>
      </c>
    </row>
    <row r="14">
      <c r="B14" s="33"/>
      <c r="C14" s="33"/>
      <c r="D14" s="14" t="s">
        <v>69</v>
      </c>
      <c r="E14" s="14">
        <v>1.0</v>
      </c>
      <c r="F14" s="17">
        <v>13000.0</v>
      </c>
      <c r="G14" s="25">
        <f t="shared" si="1"/>
        <v>13000</v>
      </c>
      <c r="H14" s="28"/>
      <c r="I14" s="25">
        <f t="shared" si="2"/>
        <v>1</v>
      </c>
      <c r="J14" s="35"/>
      <c r="T14" s="38">
        <v>45726.0</v>
      </c>
      <c r="U14" s="25">
        <f>R3*J164</f>
        <v>155000</v>
      </c>
      <c r="V14" s="25"/>
      <c r="W14" s="25">
        <f t="shared" si="3"/>
        <v>155000</v>
      </c>
    </row>
    <row r="15">
      <c r="B15" s="33"/>
      <c r="C15" s="33"/>
      <c r="D15" s="48" t="s">
        <v>75</v>
      </c>
      <c r="E15" s="14">
        <v>1.0</v>
      </c>
      <c r="F15" s="17">
        <v>18000.0</v>
      </c>
      <c r="G15" s="25">
        <f t="shared" si="1"/>
        <v>18000</v>
      </c>
      <c r="H15" s="28"/>
      <c r="I15" s="25">
        <f t="shared" si="2"/>
        <v>1</v>
      </c>
      <c r="J15" s="35"/>
      <c r="T15" s="38">
        <v>45727.0</v>
      </c>
      <c r="U15" s="25">
        <f>R3*J180</f>
        <v>122000</v>
      </c>
      <c r="V15" s="25"/>
      <c r="W15" s="25">
        <f t="shared" si="3"/>
        <v>122000</v>
      </c>
    </row>
    <row r="16">
      <c r="B16" s="33"/>
      <c r="C16" s="33"/>
      <c r="D16" s="14" t="s">
        <v>76</v>
      </c>
      <c r="E16" s="14">
        <v>1.0</v>
      </c>
      <c r="F16" s="17">
        <v>10000.0</v>
      </c>
      <c r="G16" s="25">
        <f t="shared" si="1"/>
        <v>10000</v>
      </c>
      <c r="H16" s="28"/>
      <c r="I16" s="25">
        <f t="shared" si="2"/>
        <v>1</v>
      </c>
      <c r="J16" s="35"/>
      <c r="T16" s="38">
        <v>45728.0</v>
      </c>
      <c r="U16" s="25">
        <f>R3*J192</f>
        <v>135000</v>
      </c>
      <c r="V16" s="25"/>
      <c r="W16" s="25">
        <f t="shared" si="3"/>
        <v>135000</v>
      </c>
    </row>
    <row r="17">
      <c r="B17" s="33"/>
      <c r="C17" s="33"/>
      <c r="D17" s="14" t="s">
        <v>77</v>
      </c>
      <c r="E17" s="14">
        <v>1.0</v>
      </c>
      <c r="F17" s="17">
        <v>15000.0</v>
      </c>
      <c r="G17" s="25">
        <f t="shared" si="1"/>
        <v>15000</v>
      </c>
      <c r="H17" s="28"/>
      <c r="I17" s="25">
        <f t="shared" si="2"/>
        <v>1</v>
      </c>
      <c r="J17" s="13"/>
      <c r="T17" s="38">
        <v>45729.0</v>
      </c>
      <c r="U17" s="25">
        <f>R3*J209</f>
        <v>128000</v>
      </c>
      <c r="V17" s="25"/>
      <c r="W17" s="25">
        <f t="shared" si="3"/>
        <v>128000</v>
      </c>
    </row>
    <row r="18">
      <c r="B18" s="9" t="s">
        <v>30</v>
      </c>
      <c r="C18" s="12">
        <v>45718.0</v>
      </c>
      <c r="D18" s="1" t="s">
        <v>65</v>
      </c>
      <c r="E18" s="1">
        <v>10.0</v>
      </c>
      <c r="F18" s="17">
        <v>13000.0</v>
      </c>
      <c r="G18" s="25">
        <f t="shared" si="1"/>
        <v>130000</v>
      </c>
      <c r="H18" s="28"/>
      <c r="I18" s="25">
        <f t="shared" si="2"/>
        <v>10</v>
      </c>
      <c r="J18" s="29">
        <f>SUM(I18:I35)</f>
        <v>49</v>
      </c>
      <c r="T18" s="38">
        <v>45730.0</v>
      </c>
      <c r="U18" s="25">
        <f>R3*J227</f>
        <v>100000</v>
      </c>
      <c r="V18" s="25"/>
      <c r="W18" s="25">
        <f t="shared" si="3"/>
        <v>100000</v>
      </c>
    </row>
    <row r="19">
      <c r="B19" s="33"/>
      <c r="C19" s="33"/>
      <c r="D19" s="14" t="s">
        <v>17</v>
      </c>
      <c r="E19" s="14">
        <v>6.0</v>
      </c>
      <c r="F19" s="17">
        <v>18000.0</v>
      </c>
      <c r="G19" s="25">
        <f t="shared" si="1"/>
        <v>108000</v>
      </c>
      <c r="H19" s="28"/>
      <c r="I19" s="25">
        <f t="shared" si="2"/>
        <v>6</v>
      </c>
      <c r="J19" s="35"/>
      <c r="T19" s="38">
        <v>45731.0</v>
      </c>
      <c r="U19" s="25">
        <f>R3*J242</f>
        <v>104000</v>
      </c>
      <c r="V19" s="25"/>
      <c r="W19" s="25">
        <f t="shared" si="3"/>
        <v>104000</v>
      </c>
    </row>
    <row r="20">
      <c r="B20" s="33"/>
      <c r="C20" s="33"/>
      <c r="D20" s="14" t="s">
        <v>79</v>
      </c>
      <c r="E20" s="14">
        <v>4.0</v>
      </c>
      <c r="F20" s="17">
        <v>10000.0</v>
      </c>
      <c r="G20" s="25">
        <f t="shared" si="1"/>
        <v>40000</v>
      </c>
      <c r="H20" s="28"/>
      <c r="I20" s="25">
        <f t="shared" si="2"/>
        <v>4</v>
      </c>
      <c r="J20" s="35"/>
      <c r="T20" s="38">
        <v>45732.0</v>
      </c>
      <c r="U20" s="25">
        <f>R3*J257</f>
        <v>114000</v>
      </c>
      <c r="V20" s="25"/>
      <c r="W20" s="25">
        <f t="shared" si="3"/>
        <v>114000</v>
      </c>
    </row>
    <row r="21">
      <c r="B21" s="33"/>
      <c r="C21" s="33"/>
      <c r="D21" s="14" t="s">
        <v>62</v>
      </c>
      <c r="E21" s="14">
        <v>3.0</v>
      </c>
      <c r="F21" s="17">
        <v>15000.0</v>
      </c>
      <c r="G21" s="25">
        <f t="shared" si="1"/>
        <v>45000</v>
      </c>
      <c r="H21" s="28"/>
      <c r="I21" s="25">
        <f t="shared" si="2"/>
        <v>3</v>
      </c>
      <c r="J21" s="35"/>
      <c r="T21" s="38">
        <v>45733.0</v>
      </c>
      <c r="U21" s="25">
        <f>R3*J272</f>
        <v>115000</v>
      </c>
      <c r="V21" s="25"/>
      <c r="W21" s="25">
        <f t="shared" si="3"/>
        <v>115000</v>
      </c>
    </row>
    <row r="22">
      <c r="B22" s="33"/>
      <c r="C22" s="33"/>
      <c r="D22" s="14" t="s">
        <v>59</v>
      </c>
      <c r="E22" s="14">
        <v>3.0</v>
      </c>
      <c r="F22" s="17">
        <v>10000.0</v>
      </c>
      <c r="G22" s="25">
        <f t="shared" si="1"/>
        <v>30000</v>
      </c>
      <c r="H22" s="28"/>
      <c r="I22" s="25">
        <f t="shared" si="2"/>
        <v>3</v>
      </c>
      <c r="J22" s="35"/>
      <c r="T22" s="38">
        <v>45734.0</v>
      </c>
      <c r="U22" s="25">
        <f>R3*J287</f>
        <v>166000</v>
      </c>
      <c r="V22" s="25"/>
      <c r="W22" s="25">
        <f t="shared" si="3"/>
        <v>166000</v>
      </c>
    </row>
    <row r="23">
      <c r="B23" s="33"/>
      <c r="C23" s="33"/>
      <c r="D23" s="14" t="s">
        <v>60</v>
      </c>
      <c r="E23" s="14">
        <v>3.0</v>
      </c>
      <c r="F23" s="17">
        <v>15000.0</v>
      </c>
      <c r="G23" s="25">
        <f t="shared" si="1"/>
        <v>45000</v>
      </c>
      <c r="H23" s="28"/>
      <c r="I23" s="25">
        <f t="shared" si="2"/>
        <v>3</v>
      </c>
      <c r="J23" s="35"/>
      <c r="T23" s="38">
        <v>45735.0</v>
      </c>
      <c r="U23" s="25">
        <f>R3*J300</f>
        <v>120000</v>
      </c>
      <c r="V23" s="25"/>
      <c r="W23" s="25">
        <f t="shared" si="3"/>
        <v>120000</v>
      </c>
    </row>
    <row r="24">
      <c r="B24" s="33"/>
      <c r="C24" s="33"/>
      <c r="D24" s="14" t="s">
        <v>76</v>
      </c>
      <c r="E24" s="14">
        <v>2.0</v>
      </c>
      <c r="F24" s="17">
        <v>10000.0</v>
      </c>
      <c r="G24" s="25">
        <f t="shared" si="1"/>
        <v>20000</v>
      </c>
      <c r="H24" s="28"/>
      <c r="I24" s="25">
        <f t="shared" si="2"/>
        <v>2</v>
      </c>
      <c r="J24" s="35"/>
      <c r="T24" s="38">
        <v>45736.0</v>
      </c>
      <c r="U24" s="25">
        <f>R3*J315</f>
        <v>112000</v>
      </c>
      <c r="V24" s="25"/>
      <c r="W24" s="25">
        <f t="shared" si="3"/>
        <v>112000</v>
      </c>
    </row>
    <row r="25">
      <c r="B25" s="33"/>
      <c r="C25" s="33"/>
      <c r="D25" s="14" t="s">
        <v>56</v>
      </c>
      <c r="E25" s="14">
        <v>2.0</v>
      </c>
      <c r="F25" s="17">
        <v>15000.0</v>
      </c>
      <c r="G25" s="25">
        <f t="shared" si="1"/>
        <v>30000</v>
      </c>
      <c r="H25" s="28"/>
      <c r="I25" s="25">
        <f t="shared" si="2"/>
        <v>2</v>
      </c>
      <c r="J25" s="35"/>
      <c r="T25" s="38">
        <v>45737.0</v>
      </c>
      <c r="U25" s="25">
        <f>R3*J332</f>
        <v>118000</v>
      </c>
      <c r="V25" s="25"/>
      <c r="W25" s="25">
        <f t="shared" si="3"/>
        <v>118000</v>
      </c>
    </row>
    <row r="26">
      <c r="B26" s="33"/>
      <c r="C26" s="33"/>
      <c r="D26" s="14" t="s">
        <v>77</v>
      </c>
      <c r="E26" s="14">
        <v>2.0</v>
      </c>
      <c r="F26" s="17">
        <v>15000.0</v>
      </c>
      <c r="G26" s="25">
        <f t="shared" si="1"/>
        <v>30000</v>
      </c>
      <c r="H26" s="28"/>
      <c r="I26" s="25">
        <f t="shared" si="2"/>
        <v>2</v>
      </c>
      <c r="J26" s="35"/>
      <c r="K26" s="14" t="s">
        <v>82</v>
      </c>
      <c r="L26" s="14">
        <v>2.0</v>
      </c>
      <c r="M26" s="17">
        <v>8000.0</v>
      </c>
      <c r="N26" s="25">
        <f>M26*L26</f>
        <v>16000</v>
      </c>
      <c r="O26" s="25">
        <f>L26</f>
        <v>2</v>
      </c>
      <c r="T26" s="38">
        <v>45739.0</v>
      </c>
      <c r="U26" s="25">
        <f>R3*J346</f>
        <v>25000</v>
      </c>
      <c r="V26" s="25"/>
      <c r="W26" s="25">
        <f t="shared" si="3"/>
        <v>25000</v>
      </c>
    </row>
    <row r="27">
      <c r="B27" s="33"/>
      <c r="C27" s="33"/>
      <c r="D27" s="14" t="s">
        <v>68</v>
      </c>
      <c r="E27" s="14">
        <v>2.0</v>
      </c>
      <c r="F27" s="17">
        <v>13000.0</v>
      </c>
      <c r="G27" s="25">
        <f t="shared" si="1"/>
        <v>26000</v>
      </c>
      <c r="H27" s="28"/>
      <c r="I27" s="25">
        <f t="shared" si="2"/>
        <v>2</v>
      </c>
      <c r="J27" s="35"/>
      <c r="T27" s="38">
        <v>45740.0</v>
      </c>
      <c r="U27" s="25">
        <f>R3*J357</f>
        <v>29000</v>
      </c>
      <c r="V27" s="25"/>
      <c r="W27" s="25">
        <f t="shared" si="3"/>
        <v>29000</v>
      </c>
    </row>
    <row r="28">
      <c r="B28" s="33"/>
      <c r="C28" s="33"/>
      <c r="D28" s="14" t="s">
        <v>69</v>
      </c>
      <c r="E28" s="14">
        <v>2.0</v>
      </c>
      <c r="F28" s="17">
        <v>13000.0</v>
      </c>
      <c r="G28" s="25">
        <f t="shared" si="1"/>
        <v>26000</v>
      </c>
      <c r="H28" s="28"/>
      <c r="I28" s="25">
        <f t="shared" si="2"/>
        <v>2</v>
      </c>
      <c r="J28" s="35"/>
      <c r="T28" s="38">
        <v>45741.0</v>
      </c>
      <c r="U28" s="25">
        <f>R3*J369</f>
        <v>29000</v>
      </c>
      <c r="V28" s="25"/>
      <c r="W28" s="25">
        <f t="shared" si="3"/>
        <v>29000</v>
      </c>
    </row>
    <row r="29">
      <c r="B29" s="33"/>
      <c r="C29" s="33"/>
      <c r="D29" s="14" t="s">
        <v>52</v>
      </c>
      <c r="E29" s="14">
        <v>2.0</v>
      </c>
      <c r="F29" s="17">
        <v>5000.0</v>
      </c>
      <c r="G29" s="25">
        <f t="shared" si="1"/>
        <v>10000</v>
      </c>
      <c r="H29" s="28"/>
      <c r="I29" s="25">
        <f t="shared" si="2"/>
        <v>2</v>
      </c>
      <c r="J29" s="35"/>
      <c r="T29" s="38">
        <v>45742.0</v>
      </c>
      <c r="U29" s="25">
        <f>R3*J379</f>
        <v>13000</v>
      </c>
      <c r="V29" s="25"/>
      <c r="W29" s="25">
        <f t="shared" si="3"/>
        <v>13000</v>
      </c>
    </row>
    <row r="30">
      <c r="B30" s="33"/>
      <c r="C30" s="33"/>
      <c r="D30" s="48" t="s">
        <v>90</v>
      </c>
      <c r="E30" s="14">
        <v>2.0</v>
      </c>
      <c r="F30" s="17">
        <v>18000.0</v>
      </c>
      <c r="G30" s="25">
        <f t="shared" si="1"/>
        <v>36000</v>
      </c>
      <c r="H30" s="28"/>
      <c r="I30" s="25">
        <f t="shared" si="2"/>
        <v>2</v>
      </c>
      <c r="J30" s="35"/>
      <c r="T30" s="61"/>
      <c r="U30" s="62"/>
      <c r="V30" s="62"/>
      <c r="W30" s="62"/>
    </row>
    <row r="31">
      <c r="B31" s="33"/>
      <c r="C31" s="33"/>
      <c r="D31" s="48" t="s">
        <v>92</v>
      </c>
      <c r="E31" s="14">
        <v>2.0</v>
      </c>
      <c r="F31" s="17">
        <v>18000.0</v>
      </c>
      <c r="G31" s="25">
        <f t="shared" si="1"/>
        <v>36000</v>
      </c>
      <c r="H31" s="28"/>
      <c r="I31" s="25">
        <f t="shared" si="2"/>
        <v>2</v>
      </c>
      <c r="J31" s="35"/>
      <c r="T31" s="62"/>
      <c r="U31" s="62"/>
      <c r="V31" s="62"/>
      <c r="W31" s="62"/>
    </row>
    <row r="32">
      <c r="B32" s="33"/>
      <c r="C32" s="33"/>
      <c r="D32" s="14" t="s">
        <v>71</v>
      </c>
      <c r="E32" s="14">
        <v>1.0</v>
      </c>
      <c r="F32" s="17">
        <v>18000.0</v>
      </c>
      <c r="G32" s="25">
        <f t="shared" si="1"/>
        <v>18000</v>
      </c>
      <c r="H32" s="28"/>
      <c r="I32" s="25">
        <f t="shared" si="2"/>
        <v>1</v>
      </c>
      <c r="J32" s="35"/>
      <c r="T32" s="62"/>
      <c r="U32" s="62"/>
      <c r="V32" s="62"/>
      <c r="W32" s="62"/>
    </row>
    <row r="33">
      <c r="B33" s="33"/>
      <c r="C33" s="33"/>
      <c r="D33" s="14" t="s">
        <v>53</v>
      </c>
      <c r="E33" s="14">
        <v>1.0</v>
      </c>
      <c r="F33" s="17">
        <v>15000.0</v>
      </c>
      <c r="G33" s="25">
        <f t="shared" si="1"/>
        <v>15000</v>
      </c>
      <c r="H33" s="28"/>
      <c r="I33" s="25">
        <f t="shared" si="2"/>
        <v>1</v>
      </c>
      <c r="J33" s="35"/>
      <c r="T33" s="62"/>
      <c r="U33" s="62"/>
      <c r="V33" s="62"/>
      <c r="W33" s="62"/>
    </row>
    <row r="34">
      <c r="B34" s="33"/>
      <c r="C34" s="33"/>
      <c r="D34" s="14" t="s">
        <v>28</v>
      </c>
      <c r="E34" s="14">
        <v>1.0</v>
      </c>
      <c r="F34" s="17">
        <v>15000.0</v>
      </c>
      <c r="G34" s="25">
        <f t="shared" si="1"/>
        <v>15000</v>
      </c>
      <c r="H34" s="28"/>
      <c r="I34" s="25">
        <f t="shared" si="2"/>
        <v>1</v>
      </c>
      <c r="J34" s="35"/>
      <c r="T34" s="62"/>
      <c r="U34" s="62"/>
      <c r="V34" s="62"/>
      <c r="W34" s="62"/>
    </row>
    <row r="35">
      <c r="B35" s="33"/>
      <c r="C35" s="33"/>
      <c r="D35" s="14" t="s">
        <v>89</v>
      </c>
      <c r="E35" s="14">
        <v>1.0</v>
      </c>
      <c r="F35" s="17">
        <v>15000.0</v>
      </c>
      <c r="G35" s="25">
        <f t="shared" si="1"/>
        <v>15000</v>
      </c>
      <c r="H35" s="28"/>
      <c r="I35" s="25">
        <f t="shared" si="2"/>
        <v>1</v>
      </c>
      <c r="J35" s="13"/>
      <c r="T35" s="62"/>
      <c r="U35" s="62"/>
      <c r="V35" s="62"/>
      <c r="W35" s="62"/>
    </row>
    <row r="36">
      <c r="B36" s="9" t="s">
        <v>36</v>
      </c>
      <c r="C36" s="12">
        <v>45719.0</v>
      </c>
      <c r="D36" s="14" t="s">
        <v>76</v>
      </c>
      <c r="E36" s="14">
        <v>9.0</v>
      </c>
      <c r="F36" s="17">
        <v>10000.0</v>
      </c>
      <c r="G36" s="25">
        <f t="shared" si="1"/>
        <v>90000</v>
      </c>
      <c r="H36" s="28"/>
      <c r="I36" s="25">
        <f t="shared" si="2"/>
        <v>9</v>
      </c>
      <c r="J36" s="29">
        <f>sum(I36:I57)</f>
        <v>55</v>
      </c>
      <c r="T36" s="62"/>
      <c r="U36" s="62"/>
      <c r="V36" s="62"/>
      <c r="W36" s="62"/>
    </row>
    <row r="37">
      <c r="B37" s="64"/>
      <c r="C37" s="64"/>
      <c r="D37" s="14" t="s">
        <v>17</v>
      </c>
      <c r="E37" s="14">
        <v>8.0</v>
      </c>
      <c r="F37" s="17">
        <v>18000.0</v>
      </c>
      <c r="G37" s="25">
        <f t="shared" si="1"/>
        <v>144000</v>
      </c>
      <c r="H37" s="28"/>
      <c r="I37" s="25">
        <f t="shared" si="2"/>
        <v>8</v>
      </c>
      <c r="J37" s="35"/>
      <c r="T37" s="62"/>
      <c r="U37" s="62"/>
      <c r="V37" s="62"/>
      <c r="W37" s="62"/>
    </row>
    <row r="38">
      <c r="B38" s="64"/>
      <c r="C38" s="64"/>
      <c r="D38" s="14" t="s">
        <v>65</v>
      </c>
      <c r="E38" s="14">
        <v>8.0</v>
      </c>
      <c r="F38" s="17">
        <v>13000.0</v>
      </c>
      <c r="G38" s="25">
        <f t="shared" si="1"/>
        <v>104000</v>
      </c>
      <c r="H38" s="28"/>
      <c r="I38" s="25">
        <f t="shared" si="2"/>
        <v>8</v>
      </c>
      <c r="J38" s="35"/>
      <c r="T38" s="62"/>
      <c r="U38" s="62"/>
      <c r="V38" s="62"/>
      <c r="W38" s="62"/>
    </row>
    <row r="39">
      <c r="B39" s="64"/>
      <c r="C39" s="64"/>
      <c r="D39" s="14" t="s">
        <v>56</v>
      </c>
      <c r="E39" s="14">
        <v>5.0</v>
      </c>
      <c r="F39" s="17">
        <v>15000.0</v>
      </c>
      <c r="G39" s="25">
        <f t="shared" si="1"/>
        <v>75000</v>
      </c>
      <c r="H39" s="28"/>
      <c r="I39" s="25">
        <f t="shared" si="2"/>
        <v>5</v>
      </c>
      <c r="J39" s="35"/>
      <c r="T39" s="62"/>
      <c r="U39" s="62"/>
      <c r="V39" s="62"/>
      <c r="W39" s="62"/>
    </row>
    <row r="40">
      <c r="B40" s="64"/>
      <c r="C40" s="64"/>
      <c r="D40" s="14" t="s">
        <v>52</v>
      </c>
      <c r="E40" s="14">
        <v>3.0</v>
      </c>
      <c r="F40" s="17">
        <v>5000.0</v>
      </c>
      <c r="G40" s="25">
        <f t="shared" si="1"/>
        <v>15000</v>
      </c>
      <c r="H40" s="28"/>
      <c r="I40" s="25">
        <f t="shared" si="2"/>
        <v>3</v>
      </c>
      <c r="J40" s="35"/>
      <c r="T40" s="62"/>
      <c r="U40" s="62"/>
      <c r="V40" s="62"/>
      <c r="W40" s="62"/>
    </row>
    <row r="41">
      <c r="B41" s="64"/>
      <c r="C41" s="64"/>
      <c r="D41" s="14" t="s">
        <v>101</v>
      </c>
      <c r="E41" s="14">
        <v>2.0</v>
      </c>
      <c r="F41" s="17">
        <v>13000.0</v>
      </c>
      <c r="G41" s="25">
        <f t="shared" si="1"/>
        <v>26000</v>
      </c>
      <c r="H41" s="28"/>
      <c r="I41" s="25">
        <f t="shared" si="2"/>
        <v>2</v>
      </c>
      <c r="J41" s="35"/>
      <c r="T41" s="62"/>
      <c r="U41" s="62"/>
      <c r="V41" s="62"/>
      <c r="W41" s="62"/>
    </row>
    <row r="42">
      <c r="B42" s="64"/>
      <c r="C42" s="64"/>
      <c r="D42" s="14" t="s">
        <v>72</v>
      </c>
      <c r="E42" s="14">
        <v>2.0</v>
      </c>
      <c r="F42" s="17">
        <v>13000.0</v>
      </c>
      <c r="G42" s="25">
        <f t="shared" si="1"/>
        <v>26000</v>
      </c>
      <c r="H42" s="28"/>
      <c r="I42" s="25">
        <f t="shared" si="2"/>
        <v>2</v>
      </c>
      <c r="J42" s="35"/>
      <c r="T42" s="62"/>
      <c r="U42" s="62"/>
      <c r="V42" s="62"/>
      <c r="W42" s="62"/>
    </row>
    <row r="43">
      <c r="B43" s="64"/>
      <c r="C43" s="64"/>
      <c r="D43" s="14" t="s">
        <v>71</v>
      </c>
      <c r="E43" s="14">
        <v>2.0</v>
      </c>
      <c r="F43" s="17">
        <v>18000.0</v>
      </c>
      <c r="G43" s="25">
        <f t="shared" si="1"/>
        <v>36000</v>
      </c>
      <c r="H43" s="28"/>
      <c r="I43" s="25">
        <f t="shared" si="2"/>
        <v>2</v>
      </c>
      <c r="J43" s="35"/>
      <c r="T43" s="62"/>
      <c r="U43" s="62"/>
      <c r="V43" s="62"/>
      <c r="W43" s="62"/>
    </row>
    <row r="44">
      <c r="B44" s="64"/>
      <c r="C44" s="64"/>
      <c r="D44" s="14" t="s">
        <v>69</v>
      </c>
      <c r="E44" s="14">
        <v>2.0</v>
      </c>
      <c r="F44" s="17">
        <v>13000.0</v>
      </c>
      <c r="G44" s="25">
        <f t="shared" si="1"/>
        <v>26000</v>
      </c>
      <c r="H44" s="28"/>
      <c r="I44" s="25">
        <f t="shared" si="2"/>
        <v>2</v>
      </c>
      <c r="J44" s="35"/>
      <c r="T44" s="62"/>
      <c r="U44" s="62"/>
      <c r="V44" s="62"/>
      <c r="W44" s="62"/>
    </row>
    <row r="45">
      <c r="B45" s="64"/>
      <c r="C45" s="64"/>
      <c r="D45" s="14" t="s">
        <v>60</v>
      </c>
      <c r="E45" s="14">
        <v>2.0</v>
      </c>
      <c r="F45" s="17">
        <v>15000.0</v>
      </c>
      <c r="G45" s="25">
        <f t="shared" si="1"/>
        <v>30000</v>
      </c>
      <c r="H45" s="28"/>
      <c r="I45" s="25">
        <f t="shared" si="2"/>
        <v>2</v>
      </c>
      <c r="J45" s="35"/>
      <c r="T45" s="62"/>
      <c r="U45" s="62"/>
      <c r="V45" s="62"/>
      <c r="W45" s="62"/>
    </row>
    <row r="46">
      <c r="B46" s="64"/>
      <c r="C46" s="64"/>
      <c r="D46" s="14" t="s">
        <v>89</v>
      </c>
      <c r="E46" s="14">
        <v>1.0</v>
      </c>
      <c r="F46" s="17">
        <v>15000.0</v>
      </c>
      <c r="G46" s="25">
        <f t="shared" si="1"/>
        <v>15000</v>
      </c>
      <c r="H46" s="28"/>
      <c r="I46" s="25">
        <f t="shared" si="2"/>
        <v>1</v>
      </c>
      <c r="J46" s="35"/>
      <c r="T46" s="62"/>
      <c r="U46" s="62"/>
      <c r="V46" s="62"/>
      <c r="W46" s="62"/>
    </row>
    <row r="47">
      <c r="B47" s="64"/>
      <c r="C47" s="64"/>
      <c r="D47" s="14" t="s">
        <v>28</v>
      </c>
      <c r="E47" s="14">
        <v>1.0</v>
      </c>
      <c r="F47" s="17">
        <v>15000.0</v>
      </c>
      <c r="G47" s="25">
        <f t="shared" si="1"/>
        <v>15000</v>
      </c>
      <c r="H47" s="28"/>
      <c r="I47" s="25">
        <f t="shared" si="2"/>
        <v>1</v>
      </c>
      <c r="J47" s="35"/>
      <c r="T47" s="62"/>
      <c r="U47" s="62"/>
      <c r="V47" s="62"/>
      <c r="W47" s="62"/>
    </row>
    <row r="48">
      <c r="B48" s="64"/>
      <c r="C48" s="64"/>
      <c r="D48" s="14" t="s">
        <v>53</v>
      </c>
      <c r="E48" s="14">
        <v>1.0</v>
      </c>
      <c r="F48" s="17">
        <v>15000.0</v>
      </c>
      <c r="G48" s="25">
        <f t="shared" si="1"/>
        <v>15000</v>
      </c>
      <c r="H48" s="28"/>
      <c r="I48" s="25">
        <f t="shared" si="2"/>
        <v>1</v>
      </c>
      <c r="J48" s="35"/>
      <c r="T48" s="62"/>
      <c r="U48" s="62"/>
      <c r="V48" s="62"/>
      <c r="W48" s="62"/>
    </row>
    <row r="49">
      <c r="B49" s="64"/>
      <c r="C49" s="64"/>
      <c r="D49" s="14" t="s">
        <v>68</v>
      </c>
      <c r="E49" s="14">
        <v>1.0</v>
      </c>
      <c r="F49" s="17">
        <v>13000.0</v>
      </c>
      <c r="G49" s="25">
        <f t="shared" si="1"/>
        <v>13000</v>
      </c>
      <c r="H49" s="28"/>
      <c r="I49" s="25">
        <f t="shared" si="2"/>
        <v>1</v>
      </c>
      <c r="J49" s="35"/>
      <c r="T49" s="62"/>
      <c r="U49" s="62"/>
      <c r="V49" s="62"/>
      <c r="W49" s="62"/>
    </row>
    <row r="50">
      <c r="B50" s="64"/>
      <c r="C50" s="64"/>
      <c r="D50" s="14" t="s">
        <v>107</v>
      </c>
      <c r="E50" s="14">
        <v>1.0</v>
      </c>
      <c r="F50" s="17">
        <v>18000.0</v>
      </c>
      <c r="G50" s="25">
        <f t="shared" si="1"/>
        <v>18000</v>
      </c>
      <c r="H50" s="28"/>
      <c r="I50" s="25">
        <f t="shared" si="2"/>
        <v>1</v>
      </c>
      <c r="J50" s="35"/>
      <c r="T50" s="62"/>
      <c r="U50" s="62"/>
      <c r="V50" s="62"/>
      <c r="W50" s="62"/>
    </row>
    <row r="51">
      <c r="B51" s="64"/>
      <c r="C51" s="64"/>
      <c r="D51" s="14" t="s">
        <v>109</v>
      </c>
      <c r="E51" s="14">
        <v>1.0</v>
      </c>
      <c r="F51" s="17">
        <v>18000.0</v>
      </c>
      <c r="G51" s="25">
        <f t="shared" si="1"/>
        <v>18000</v>
      </c>
      <c r="H51" s="28"/>
      <c r="I51" s="25">
        <f t="shared" si="2"/>
        <v>1</v>
      </c>
      <c r="J51" s="35"/>
      <c r="T51" s="62"/>
      <c r="U51" s="62"/>
      <c r="V51" s="62"/>
      <c r="W51" s="62"/>
    </row>
    <row r="52">
      <c r="B52" s="64"/>
      <c r="C52" s="64"/>
      <c r="D52" s="14" t="s">
        <v>59</v>
      </c>
      <c r="E52" s="14">
        <v>1.0</v>
      </c>
      <c r="F52" s="17">
        <v>10000.0</v>
      </c>
      <c r="G52" s="25">
        <f t="shared" si="1"/>
        <v>10000</v>
      </c>
      <c r="H52" s="28"/>
      <c r="I52" s="25">
        <f t="shared" si="2"/>
        <v>1</v>
      </c>
      <c r="J52" s="35"/>
      <c r="T52" s="62"/>
      <c r="U52" s="62"/>
      <c r="V52" s="62"/>
      <c r="W52" s="62"/>
    </row>
    <row r="53">
      <c r="B53" s="64"/>
      <c r="C53" s="64"/>
      <c r="D53" s="14" t="s">
        <v>77</v>
      </c>
      <c r="E53" s="14">
        <v>1.0</v>
      </c>
      <c r="F53" s="17">
        <v>15000.0</v>
      </c>
      <c r="G53" s="25">
        <f t="shared" si="1"/>
        <v>15000</v>
      </c>
      <c r="H53" s="28"/>
      <c r="I53" s="25">
        <f t="shared" si="2"/>
        <v>1</v>
      </c>
      <c r="J53" s="35"/>
      <c r="T53" s="62"/>
      <c r="U53" s="62"/>
      <c r="V53" s="62"/>
      <c r="W53" s="62"/>
    </row>
    <row r="54">
      <c r="B54" s="64"/>
      <c r="C54" s="64"/>
      <c r="D54" s="14" t="s">
        <v>62</v>
      </c>
      <c r="E54" s="14">
        <v>1.0</v>
      </c>
      <c r="F54" s="17">
        <v>15000.0</v>
      </c>
      <c r="G54" s="25">
        <f t="shared" si="1"/>
        <v>15000</v>
      </c>
      <c r="H54" s="28"/>
      <c r="I54" s="25">
        <f t="shared" si="2"/>
        <v>1</v>
      </c>
      <c r="J54" s="35"/>
      <c r="T54" s="62"/>
      <c r="U54" s="62"/>
      <c r="V54" s="62"/>
      <c r="W54" s="62"/>
    </row>
    <row r="55">
      <c r="B55" s="64"/>
      <c r="C55" s="64"/>
      <c r="D55" s="14" t="s">
        <v>110</v>
      </c>
      <c r="E55" s="14">
        <v>1.0</v>
      </c>
      <c r="F55" s="17">
        <v>13000.0</v>
      </c>
      <c r="G55" s="25">
        <f t="shared" si="1"/>
        <v>13000</v>
      </c>
      <c r="H55" s="28"/>
      <c r="I55" s="25">
        <f t="shared" si="2"/>
        <v>1</v>
      </c>
      <c r="J55" s="35"/>
      <c r="T55" s="62"/>
      <c r="U55" s="62"/>
      <c r="V55" s="62"/>
      <c r="W55" s="62"/>
    </row>
    <row r="56">
      <c r="B56" s="64"/>
      <c r="C56" s="64"/>
      <c r="D56" s="14" t="s">
        <v>111</v>
      </c>
      <c r="E56" s="14">
        <v>1.0</v>
      </c>
      <c r="F56" s="17">
        <v>46750.0</v>
      </c>
      <c r="G56" s="25">
        <f t="shared" si="1"/>
        <v>46750</v>
      </c>
      <c r="H56" s="28"/>
      <c r="I56" s="25">
        <f t="shared" si="2"/>
        <v>1</v>
      </c>
      <c r="J56" s="35"/>
      <c r="T56" s="62"/>
      <c r="U56" s="62"/>
      <c r="V56" s="62"/>
      <c r="W56" s="62"/>
    </row>
    <row r="57">
      <c r="B57" s="64"/>
      <c r="C57" s="64"/>
      <c r="D57" s="14" t="s">
        <v>112</v>
      </c>
      <c r="E57" s="14">
        <v>1.0</v>
      </c>
      <c r="F57" s="17">
        <v>89250.0</v>
      </c>
      <c r="G57" s="25">
        <f t="shared" si="1"/>
        <v>89250</v>
      </c>
      <c r="H57" s="28"/>
      <c r="I57" s="25">
        <f t="shared" si="2"/>
        <v>1</v>
      </c>
      <c r="J57" s="13"/>
      <c r="T57" s="62"/>
      <c r="U57" s="62"/>
      <c r="V57" s="62"/>
      <c r="W57" s="62"/>
    </row>
    <row r="58">
      <c r="B58" s="9" t="s">
        <v>39</v>
      </c>
      <c r="C58" s="12">
        <v>45720.0</v>
      </c>
      <c r="D58" s="14" t="s">
        <v>52</v>
      </c>
      <c r="E58" s="14">
        <v>14.0</v>
      </c>
      <c r="F58" s="17">
        <v>5000.0</v>
      </c>
      <c r="G58" s="25">
        <f t="shared" si="1"/>
        <v>70000</v>
      </c>
      <c r="H58" s="28"/>
      <c r="I58" s="25">
        <f t="shared" si="2"/>
        <v>14</v>
      </c>
      <c r="J58" s="29">
        <f>sum(I58:I77)</f>
        <v>113</v>
      </c>
      <c r="T58" s="62"/>
      <c r="U58" s="62"/>
      <c r="V58" s="62"/>
      <c r="W58" s="62"/>
    </row>
    <row r="59">
      <c r="B59" s="33"/>
      <c r="C59" s="33"/>
      <c r="D59" s="14" t="s">
        <v>17</v>
      </c>
      <c r="E59" s="14">
        <v>13.0</v>
      </c>
      <c r="F59" s="17">
        <v>18000.0</v>
      </c>
      <c r="G59" s="25">
        <f t="shared" si="1"/>
        <v>234000</v>
      </c>
      <c r="H59" s="28"/>
      <c r="I59" s="25">
        <f t="shared" si="2"/>
        <v>13</v>
      </c>
      <c r="J59" s="35"/>
      <c r="T59" s="62"/>
      <c r="U59" s="62"/>
      <c r="V59" s="62"/>
      <c r="W59" s="62"/>
    </row>
    <row r="60">
      <c r="B60" s="33"/>
      <c r="C60" s="33"/>
      <c r="D60" s="14" t="s">
        <v>56</v>
      </c>
      <c r="E60" s="14">
        <v>12.0</v>
      </c>
      <c r="F60" s="17">
        <v>15000.0</v>
      </c>
      <c r="G60" s="25">
        <f t="shared" si="1"/>
        <v>180000</v>
      </c>
      <c r="H60" s="28"/>
      <c r="I60" s="25">
        <f t="shared" si="2"/>
        <v>12</v>
      </c>
      <c r="J60" s="35"/>
    </row>
    <row r="61">
      <c r="B61" s="33"/>
      <c r="C61" s="33"/>
      <c r="D61" s="14" t="s">
        <v>60</v>
      </c>
      <c r="E61" s="14">
        <v>10.0</v>
      </c>
      <c r="F61" s="17">
        <v>15000.0</v>
      </c>
      <c r="G61" s="25">
        <f t="shared" si="1"/>
        <v>150000</v>
      </c>
      <c r="H61" s="28"/>
      <c r="I61" s="25">
        <f t="shared" si="2"/>
        <v>10</v>
      </c>
      <c r="J61" s="35"/>
    </row>
    <row r="62">
      <c r="B62" s="33"/>
      <c r="C62" s="33"/>
      <c r="D62" s="14" t="s">
        <v>65</v>
      </c>
      <c r="E62" s="14">
        <v>9.0</v>
      </c>
      <c r="F62" s="17">
        <v>13000.0</v>
      </c>
      <c r="G62" s="25">
        <f t="shared" si="1"/>
        <v>117000</v>
      </c>
      <c r="H62" s="28"/>
      <c r="I62" s="25">
        <f t="shared" si="2"/>
        <v>9</v>
      </c>
      <c r="J62" s="35"/>
    </row>
    <row r="63">
      <c r="B63" s="33"/>
      <c r="C63" s="33"/>
      <c r="D63" s="14" t="s">
        <v>76</v>
      </c>
      <c r="E63" s="14">
        <v>8.0</v>
      </c>
      <c r="F63" s="17">
        <v>10000.0</v>
      </c>
      <c r="G63" s="25">
        <f t="shared" si="1"/>
        <v>80000</v>
      </c>
      <c r="H63" s="28"/>
      <c r="I63" s="25">
        <f t="shared" si="2"/>
        <v>8</v>
      </c>
      <c r="J63" s="35"/>
    </row>
    <row r="64">
      <c r="B64" s="33"/>
      <c r="C64" s="33"/>
      <c r="D64" s="14" t="s">
        <v>62</v>
      </c>
      <c r="E64" s="14">
        <v>7.0</v>
      </c>
      <c r="F64" s="17">
        <v>15000.0</v>
      </c>
      <c r="G64" s="25">
        <f t="shared" si="1"/>
        <v>105000</v>
      </c>
      <c r="H64" s="28"/>
      <c r="I64" s="25">
        <f t="shared" si="2"/>
        <v>7</v>
      </c>
      <c r="J64" s="35"/>
    </row>
    <row r="65">
      <c r="B65" s="33"/>
      <c r="C65" s="33"/>
      <c r="D65" s="14" t="s">
        <v>89</v>
      </c>
      <c r="E65" s="14">
        <v>7.0</v>
      </c>
      <c r="F65" s="17">
        <v>15000.0</v>
      </c>
      <c r="G65" s="25">
        <f t="shared" si="1"/>
        <v>105000</v>
      </c>
      <c r="H65" s="28"/>
      <c r="I65" s="25">
        <f t="shared" si="2"/>
        <v>7</v>
      </c>
      <c r="J65" s="35"/>
    </row>
    <row r="66">
      <c r="B66" s="33"/>
      <c r="C66" s="33"/>
      <c r="D66" s="14" t="s">
        <v>69</v>
      </c>
      <c r="E66" s="14">
        <v>6.0</v>
      </c>
      <c r="F66" s="17">
        <v>13000.0</v>
      </c>
      <c r="G66" s="25">
        <f t="shared" si="1"/>
        <v>78000</v>
      </c>
      <c r="H66" s="28"/>
      <c r="I66" s="25">
        <f t="shared" si="2"/>
        <v>6</v>
      </c>
      <c r="J66" s="35"/>
    </row>
    <row r="67">
      <c r="B67" s="33"/>
      <c r="C67" s="33"/>
      <c r="D67" s="14" t="s">
        <v>72</v>
      </c>
      <c r="E67" s="14">
        <v>6.0</v>
      </c>
      <c r="F67" s="17">
        <v>13000.0</v>
      </c>
      <c r="G67" s="25">
        <f t="shared" si="1"/>
        <v>78000</v>
      </c>
      <c r="H67" s="28"/>
      <c r="I67" s="25">
        <f t="shared" si="2"/>
        <v>6</v>
      </c>
      <c r="J67" s="35"/>
    </row>
    <row r="68">
      <c r="B68" s="33"/>
      <c r="C68" s="33"/>
      <c r="D68" s="14" t="s">
        <v>101</v>
      </c>
      <c r="E68" s="14">
        <v>5.0</v>
      </c>
      <c r="F68" s="17">
        <v>13000.0</v>
      </c>
      <c r="G68" s="25">
        <f t="shared" si="1"/>
        <v>65000</v>
      </c>
      <c r="H68" s="28"/>
      <c r="I68" s="25">
        <f t="shared" si="2"/>
        <v>5</v>
      </c>
      <c r="J68" s="35"/>
    </row>
    <row r="69">
      <c r="B69" s="33"/>
      <c r="C69" s="33"/>
      <c r="D69" s="48" t="s">
        <v>90</v>
      </c>
      <c r="E69" s="14">
        <v>4.0</v>
      </c>
      <c r="F69" s="17">
        <v>18000.0</v>
      </c>
      <c r="G69" s="25">
        <f t="shared" si="1"/>
        <v>72000</v>
      </c>
      <c r="H69" s="28"/>
      <c r="I69" s="25">
        <f t="shared" si="2"/>
        <v>4</v>
      </c>
      <c r="J69" s="35"/>
    </row>
    <row r="70">
      <c r="B70" s="33"/>
      <c r="C70" s="33"/>
      <c r="D70" s="14" t="s">
        <v>77</v>
      </c>
      <c r="E70" s="14">
        <v>3.0</v>
      </c>
      <c r="F70" s="17">
        <v>15000.0</v>
      </c>
      <c r="G70" s="25">
        <f t="shared" si="1"/>
        <v>45000</v>
      </c>
      <c r="H70" s="28"/>
      <c r="I70" s="25">
        <f t="shared" si="2"/>
        <v>3</v>
      </c>
      <c r="J70" s="35"/>
    </row>
    <row r="71">
      <c r="B71" s="33"/>
      <c r="C71" s="33"/>
      <c r="D71" s="48" t="s">
        <v>75</v>
      </c>
      <c r="E71" s="14">
        <v>2.0</v>
      </c>
      <c r="F71" s="17">
        <v>18000.0</v>
      </c>
      <c r="G71" s="25">
        <f t="shared" si="1"/>
        <v>36000</v>
      </c>
      <c r="H71" s="28"/>
      <c r="I71" s="25">
        <f t="shared" si="2"/>
        <v>2</v>
      </c>
      <c r="J71" s="35"/>
    </row>
    <row r="72">
      <c r="B72" s="33"/>
      <c r="C72" s="33"/>
      <c r="D72" s="14" t="s">
        <v>59</v>
      </c>
      <c r="E72" s="14">
        <v>2.0</v>
      </c>
      <c r="F72" s="17">
        <v>10000.0</v>
      </c>
      <c r="G72" s="25">
        <f t="shared" si="1"/>
        <v>20000</v>
      </c>
      <c r="H72" s="28"/>
      <c r="I72" s="25">
        <f t="shared" si="2"/>
        <v>2</v>
      </c>
      <c r="J72" s="35"/>
    </row>
    <row r="73">
      <c r="B73" s="33"/>
      <c r="C73" s="33"/>
      <c r="D73" s="14" t="s">
        <v>68</v>
      </c>
      <c r="E73" s="14">
        <v>1.0</v>
      </c>
      <c r="F73" s="17">
        <v>13000.0</v>
      </c>
      <c r="G73" s="25">
        <f t="shared" si="1"/>
        <v>13000</v>
      </c>
      <c r="H73" s="28"/>
      <c r="I73" s="25">
        <f t="shared" si="2"/>
        <v>1</v>
      </c>
      <c r="J73" s="35"/>
    </row>
    <row r="74">
      <c r="B74" s="33"/>
      <c r="C74" s="33"/>
      <c r="D74" s="14" t="s">
        <v>71</v>
      </c>
      <c r="E74" s="14">
        <v>1.0</v>
      </c>
      <c r="F74" s="17">
        <v>18000.0</v>
      </c>
      <c r="G74" s="25">
        <f t="shared" si="1"/>
        <v>18000</v>
      </c>
      <c r="H74" s="28"/>
      <c r="I74" s="25">
        <f t="shared" si="2"/>
        <v>1</v>
      </c>
      <c r="J74" s="35"/>
    </row>
    <row r="75">
      <c r="B75" s="33"/>
      <c r="C75" s="33"/>
      <c r="D75" s="14" t="s">
        <v>53</v>
      </c>
      <c r="E75" s="14">
        <v>1.0</v>
      </c>
      <c r="F75" s="17">
        <v>15000.0</v>
      </c>
      <c r="G75" s="25">
        <f t="shared" si="1"/>
        <v>15000</v>
      </c>
      <c r="H75" s="28"/>
      <c r="I75" s="25">
        <f t="shared" si="2"/>
        <v>1</v>
      </c>
      <c r="J75" s="35"/>
    </row>
    <row r="76">
      <c r="B76" s="33"/>
      <c r="C76" s="33"/>
      <c r="D76" s="14" t="s">
        <v>114</v>
      </c>
      <c r="E76" s="14">
        <v>1.0</v>
      </c>
      <c r="F76" s="17">
        <v>15000.0</v>
      </c>
      <c r="G76" s="25">
        <f t="shared" si="1"/>
        <v>15000</v>
      </c>
      <c r="H76" s="28"/>
      <c r="I76" s="25">
        <f t="shared" si="2"/>
        <v>1</v>
      </c>
      <c r="J76" s="35"/>
    </row>
    <row r="77">
      <c r="B77" s="33"/>
      <c r="C77" s="33"/>
      <c r="D77" s="14" t="s">
        <v>110</v>
      </c>
      <c r="E77" s="14">
        <v>1.0</v>
      </c>
      <c r="F77" s="17">
        <v>13000.0</v>
      </c>
      <c r="G77" s="25">
        <f t="shared" si="1"/>
        <v>13000</v>
      </c>
      <c r="H77" s="28"/>
      <c r="I77" s="25">
        <f t="shared" si="2"/>
        <v>1</v>
      </c>
      <c r="J77" s="13"/>
    </row>
    <row r="78">
      <c r="B78" s="9" t="s">
        <v>115</v>
      </c>
      <c r="C78" s="12">
        <v>45721.0</v>
      </c>
      <c r="D78" s="14" t="s">
        <v>116</v>
      </c>
      <c r="E78" s="14">
        <v>20.0</v>
      </c>
      <c r="F78" s="17">
        <v>23800.0</v>
      </c>
      <c r="G78" s="25">
        <f t="shared" si="1"/>
        <v>476000</v>
      </c>
      <c r="H78" s="28"/>
      <c r="I78" s="25">
        <f t="shared" si="2"/>
        <v>20</v>
      </c>
      <c r="J78" s="29">
        <f>SUM(I78:I94)</f>
        <v>89</v>
      </c>
    </row>
    <row r="79">
      <c r="B79" s="25"/>
      <c r="C79" s="25"/>
      <c r="D79" s="14" t="s">
        <v>17</v>
      </c>
      <c r="E79" s="14">
        <v>12.0</v>
      </c>
      <c r="F79" s="17">
        <v>18000.0</v>
      </c>
      <c r="G79" s="25">
        <f t="shared" si="1"/>
        <v>216000</v>
      </c>
      <c r="H79" s="28"/>
      <c r="I79" s="25">
        <f t="shared" si="2"/>
        <v>12</v>
      </c>
      <c r="J79" s="35"/>
    </row>
    <row r="80">
      <c r="B80" s="25"/>
      <c r="C80" s="25"/>
      <c r="D80" s="14" t="s">
        <v>52</v>
      </c>
      <c r="E80" s="14">
        <v>12.0</v>
      </c>
      <c r="F80" s="17">
        <v>5000.0</v>
      </c>
      <c r="G80" s="25">
        <f t="shared" si="1"/>
        <v>60000</v>
      </c>
      <c r="H80" s="28"/>
      <c r="I80" s="25">
        <f t="shared" si="2"/>
        <v>12</v>
      </c>
      <c r="J80" s="35"/>
    </row>
    <row r="81">
      <c r="B81" s="25"/>
      <c r="C81" s="25"/>
      <c r="D81" s="14" t="s">
        <v>60</v>
      </c>
      <c r="E81" s="14">
        <v>11.0</v>
      </c>
      <c r="F81" s="17">
        <v>15000.0</v>
      </c>
      <c r="G81" s="25">
        <f t="shared" si="1"/>
        <v>165000</v>
      </c>
      <c r="H81" s="28"/>
      <c r="I81" s="25">
        <f t="shared" si="2"/>
        <v>11</v>
      </c>
      <c r="J81" s="35"/>
    </row>
    <row r="82">
      <c r="B82" s="25"/>
      <c r="C82" s="25"/>
      <c r="D82" s="14" t="s">
        <v>56</v>
      </c>
      <c r="E82" s="14">
        <v>8.0</v>
      </c>
      <c r="F82" s="17">
        <v>15000.0</v>
      </c>
      <c r="G82" s="25">
        <f t="shared" si="1"/>
        <v>120000</v>
      </c>
      <c r="H82" s="28"/>
      <c r="I82" s="25">
        <f t="shared" si="2"/>
        <v>8</v>
      </c>
      <c r="J82" s="35"/>
    </row>
    <row r="83">
      <c r="B83" s="25"/>
      <c r="C83" s="25"/>
      <c r="D83" s="14" t="s">
        <v>77</v>
      </c>
      <c r="E83" s="14">
        <v>4.0</v>
      </c>
      <c r="F83" s="17">
        <v>15000.0</v>
      </c>
      <c r="G83" s="25">
        <f t="shared" si="1"/>
        <v>60000</v>
      </c>
      <c r="H83" s="28"/>
      <c r="I83" s="25">
        <f t="shared" si="2"/>
        <v>4</v>
      </c>
      <c r="J83" s="35"/>
    </row>
    <row r="84">
      <c r="B84" s="25"/>
      <c r="C84" s="25"/>
      <c r="D84" s="14" t="s">
        <v>101</v>
      </c>
      <c r="E84" s="14">
        <v>3.0</v>
      </c>
      <c r="F84" s="17">
        <v>13000.0</v>
      </c>
      <c r="G84" s="25">
        <f t="shared" si="1"/>
        <v>39000</v>
      </c>
      <c r="H84" s="28"/>
      <c r="I84" s="25">
        <f t="shared" si="2"/>
        <v>3</v>
      </c>
      <c r="J84" s="35"/>
    </row>
    <row r="85">
      <c r="B85" s="25"/>
      <c r="C85" s="25"/>
      <c r="D85" s="14" t="s">
        <v>109</v>
      </c>
      <c r="E85" s="14">
        <v>3.0</v>
      </c>
      <c r="F85" s="17">
        <v>18000.0</v>
      </c>
      <c r="G85" s="25">
        <f t="shared" si="1"/>
        <v>54000</v>
      </c>
      <c r="H85" s="28"/>
      <c r="I85" s="25">
        <f t="shared" si="2"/>
        <v>3</v>
      </c>
      <c r="J85" s="35"/>
    </row>
    <row r="86">
      <c r="B86" s="25"/>
      <c r="C86" s="25"/>
      <c r="D86" s="14" t="s">
        <v>59</v>
      </c>
      <c r="E86" s="14">
        <v>3.0</v>
      </c>
      <c r="F86" s="17">
        <v>10000.0</v>
      </c>
      <c r="G86" s="25">
        <f t="shared" si="1"/>
        <v>30000</v>
      </c>
      <c r="H86" s="28"/>
      <c r="I86" s="25">
        <f t="shared" si="2"/>
        <v>3</v>
      </c>
      <c r="J86" s="35"/>
    </row>
    <row r="87">
      <c r="B87" s="25"/>
      <c r="C87" s="25"/>
      <c r="D87" s="14" t="s">
        <v>111</v>
      </c>
      <c r="E87" s="14">
        <v>2.0</v>
      </c>
      <c r="F87" s="17">
        <v>46750.0</v>
      </c>
      <c r="G87" s="25">
        <f t="shared" si="1"/>
        <v>93500</v>
      </c>
      <c r="H87" s="28"/>
      <c r="I87" s="25">
        <f t="shared" si="2"/>
        <v>2</v>
      </c>
      <c r="J87" s="35"/>
    </row>
    <row r="88">
      <c r="B88" s="25"/>
      <c r="C88" s="25"/>
      <c r="D88" s="14" t="s">
        <v>71</v>
      </c>
      <c r="E88" s="14">
        <v>2.0</v>
      </c>
      <c r="F88" s="17">
        <v>18000.0</v>
      </c>
      <c r="G88" s="25">
        <f t="shared" si="1"/>
        <v>36000</v>
      </c>
      <c r="H88" s="28"/>
      <c r="I88" s="25">
        <f t="shared" si="2"/>
        <v>2</v>
      </c>
      <c r="J88" s="35"/>
    </row>
    <row r="89">
      <c r="B89" s="25"/>
      <c r="C89" s="25"/>
      <c r="D89" s="14" t="s">
        <v>69</v>
      </c>
      <c r="E89" s="14">
        <v>2.0</v>
      </c>
      <c r="F89" s="17">
        <v>13000.0</v>
      </c>
      <c r="G89" s="25">
        <f t="shared" si="1"/>
        <v>26000</v>
      </c>
      <c r="H89" s="28"/>
      <c r="I89" s="25">
        <f t="shared" si="2"/>
        <v>2</v>
      </c>
      <c r="J89" s="35"/>
    </row>
    <row r="90">
      <c r="B90" s="25"/>
      <c r="C90" s="25"/>
      <c r="D90" s="14" t="s">
        <v>76</v>
      </c>
      <c r="E90" s="14">
        <v>2.0</v>
      </c>
      <c r="F90" s="17">
        <v>10000.0</v>
      </c>
      <c r="G90" s="25">
        <f t="shared" si="1"/>
        <v>20000</v>
      </c>
      <c r="H90" s="28"/>
      <c r="I90" s="25">
        <f t="shared" si="2"/>
        <v>2</v>
      </c>
      <c r="J90" s="35"/>
    </row>
    <row r="91">
      <c r="B91" s="25"/>
      <c r="C91" s="25"/>
      <c r="D91" s="14" t="s">
        <v>62</v>
      </c>
      <c r="E91" s="14">
        <v>2.0</v>
      </c>
      <c r="F91" s="17">
        <v>15000.0</v>
      </c>
      <c r="G91" s="25">
        <f t="shared" si="1"/>
        <v>30000</v>
      </c>
      <c r="H91" s="28"/>
      <c r="I91" s="25">
        <f t="shared" si="2"/>
        <v>2</v>
      </c>
      <c r="J91" s="35"/>
    </row>
    <row r="92">
      <c r="B92" s="25"/>
      <c r="C92" s="25"/>
      <c r="D92" s="14" t="s">
        <v>65</v>
      </c>
      <c r="E92" s="14">
        <v>1.0</v>
      </c>
      <c r="F92" s="17">
        <v>13000.0</v>
      </c>
      <c r="G92" s="25">
        <f t="shared" si="1"/>
        <v>13000</v>
      </c>
      <c r="H92" s="28"/>
      <c r="I92" s="25">
        <f t="shared" si="2"/>
        <v>1</v>
      </c>
      <c r="J92" s="35"/>
    </row>
    <row r="93">
      <c r="B93" s="25"/>
      <c r="C93" s="25"/>
      <c r="D93" s="14" t="s">
        <v>72</v>
      </c>
      <c r="E93" s="14">
        <v>1.0</v>
      </c>
      <c r="F93" s="17">
        <v>13000.0</v>
      </c>
      <c r="G93" s="25">
        <f t="shared" si="1"/>
        <v>13000</v>
      </c>
      <c r="H93" s="28"/>
      <c r="I93" s="25">
        <f t="shared" si="2"/>
        <v>1</v>
      </c>
      <c r="J93" s="35"/>
    </row>
    <row r="94">
      <c r="B94" s="25"/>
      <c r="C94" s="25"/>
      <c r="D94" s="14" t="s">
        <v>107</v>
      </c>
      <c r="E94" s="14">
        <v>1.0</v>
      </c>
      <c r="F94" s="17">
        <v>18000.0</v>
      </c>
      <c r="G94" s="25">
        <f t="shared" si="1"/>
        <v>18000</v>
      </c>
      <c r="H94" s="28"/>
      <c r="I94" s="25">
        <f t="shared" si="2"/>
        <v>1</v>
      </c>
      <c r="J94" s="13"/>
    </row>
    <row r="95">
      <c r="B95" s="9" t="s">
        <v>47</v>
      </c>
      <c r="C95" s="12">
        <v>45722.0</v>
      </c>
      <c r="D95" s="14" t="s">
        <v>17</v>
      </c>
      <c r="E95" s="14">
        <v>23.0</v>
      </c>
      <c r="F95" s="17">
        <v>18000.0</v>
      </c>
      <c r="G95" s="25">
        <f t="shared" si="1"/>
        <v>414000</v>
      </c>
      <c r="H95" s="28"/>
      <c r="I95" s="25">
        <f t="shared" si="2"/>
        <v>23</v>
      </c>
      <c r="J95" s="29">
        <f>SUM(I95:I110)</f>
        <v>107</v>
      </c>
    </row>
    <row r="96">
      <c r="B96" s="25"/>
      <c r="C96" s="25"/>
      <c r="D96" s="14" t="s">
        <v>52</v>
      </c>
      <c r="E96" s="14">
        <v>15.0</v>
      </c>
      <c r="F96" s="17">
        <v>5000.0</v>
      </c>
      <c r="G96" s="25">
        <f t="shared" si="1"/>
        <v>75000</v>
      </c>
      <c r="H96" s="28"/>
      <c r="I96" s="25">
        <f t="shared" si="2"/>
        <v>15</v>
      </c>
      <c r="J96" s="35"/>
    </row>
    <row r="97">
      <c r="B97" s="25"/>
      <c r="C97" s="25"/>
      <c r="D97" s="14" t="s">
        <v>60</v>
      </c>
      <c r="E97" s="14">
        <v>14.0</v>
      </c>
      <c r="F97" s="17">
        <v>15000.0</v>
      </c>
      <c r="G97" s="25">
        <f t="shared" si="1"/>
        <v>210000</v>
      </c>
      <c r="H97" s="28"/>
      <c r="I97" s="25">
        <f t="shared" si="2"/>
        <v>14</v>
      </c>
      <c r="J97" s="35"/>
    </row>
    <row r="98">
      <c r="B98" s="25"/>
      <c r="C98" s="25"/>
      <c r="D98" s="14" t="s">
        <v>69</v>
      </c>
      <c r="E98" s="14">
        <v>8.0</v>
      </c>
      <c r="F98" s="17">
        <v>13000.0</v>
      </c>
      <c r="G98" s="25">
        <f t="shared" si="1"/>
        <v>104000</v>
      </c>
      <c r="H98" s="28"/>
      <c r="I98" s="25">
        <f t="shared" si="2"/>
        <v>8</v>
      </c>
      <c r="J98" s="35"/>
    </row>
    <row r="99">
      <c r="B99" s="25"/>
      <c r="C99" s="25"/>
      <c r="D99" s="14" t="s">
        <v>62</v>
      </c>
      <c r="E99" s="14">
        <v>7.0</v>
      </c>
      <c r="F99" s="17">
        <v>15000.0</v>
      </c>
      <c r="G99" s="25">
        <f t="shared" si="1"/>
        <v>105000</v>
      </c>
      <c r="H99" s="28"/>
      <c r="I99" s="25">
        <f t="shared" si="2"/>
        <v>7</v>
      </c>
      <c r="J99" s="35"/>
    </row>
    <row r="100">
      <c r="B100" s="25"/>
      <c r="C100" s="25"/>
      <c r="D100" s="14" t="s">
        <v>65</v>
      </c>
      <c r="E100" s="14">
        <v>6.0</v>
      </c>
      <c r="F100" s="17">
        <v>13000.0</v>
      </c>
      <c r="G100" s="25">
        <f t="shared" si="1"/>
        <v>78000</v>
      </c>
      <c r="H100" s="28"/>
      <c r="I100" s="25">
        <f t="shared" si="2"/>
        <v>6</v>
      </c>
      <c r="J100" s="35"/>
    </row>
    <row r="101">
      <c r="B101" s="25"/>
      <c r="C101" s="25"/>
      <c r="D101" s="14" t="s">
        <v>56</v>
      </c>
      <c r="E101" s="14">
        <v>5.0</v>
      </c>
      <c r="F101" s="17">
        <v>15000.0</v>
      </c>
      <c r="G101" s="25">
        <f t="shared" si="1"/>
        <v>75000</v>
      </c>
      <c r="H101" s="28"/>
      <c r="I101" s="25">
        <f t="shared" si="2"/>
        <v>5</v>
      </c>
      <c r="J101" s="35"/>
    </row>
    <row r="102">
      <c r="B102" s="25"/>
      <c r="C102" s="25"/>
      <c r="D102" s="14" t="s">
        <v>76</v>
      </c>
      <c r="E102" s="14">
        <v>5.0</v>
      </c>
      <c r="F102" s="17">
        <v>10000.0</v>
      </c>
      <c r="G102" s="25">
        <f t="shared" si="1"/>
        <v>50000</v>
      </c>
      <c r="H102" s="28"/>
      <c r="I102" s="25">
        <f t="shared" si="2"/>
        <v>5</v>
      </c>
      <c r="J102" s="35"/>
    </row>
    <row r="103">
      <c r="B103" s="25"/>
      <c r="C103" s="25"/>
      <c r="D103" s="14" t="s">
        <v>89</v>
      </c>
      <c r="E103" s="14">
        <v>4.0</v>
      </c>
      <c r="F103" s="17">
        <v>15000.0</v>
      </c>
      <c r="G103" s="25">
        <f t="shared" si="1"/>
        <v>60000</v>
      </c>
      <c r="H103" s="28"/>
      <c r="I103" s="25">
        <f t="shared" si="2"/>
        <v>4</v>
      </c>
      <c r="J103" s="35"/>
    </row>
    <row r="104">
      <c r="B104" s="25"/>
      <c r="C104" s="25"/>
      <c r="D104" s="14" t="s">
        <v>72</v>
      </c>
      <c r="E104" s="14">
        <v>4.0</v>
      </c>
      <c r="F104" s="17">
        <v>13000.0</v>
      </c>
      <c r="G104" s="25">
        <f t="shared" si="1"/>
        <v>52000</v>
      </c>
      <c r="H104" s="28"/>
      <c r="I104" s="25">
        <f t="shared" si="2"/>
        <v>4</v>
      </c>
      <c r="J104" s="35"/>
    </row>
    <row r="105">
      <c r="B105" s="25"/>
      <c r="C105" s="25"/>
      <c r="D105" s="14" t="s">
        <v>77</v>
      </c>
      <c r="E105" s="14">
        <v>4.0</v>
      </c>
      <c r="F105" s="17">
        <v>15000.0</v>
      </c>
      <c r="G105" s="25">
        <f t="shared" si="1"/>
        <v>60000</v>
      </c>
      <c r="H105" s="28"/>
      <c r="I105" s="25">
        <f t="shared" si="2"/>
        <v>4</v>
      </c>
      <c r="J105" s="35"/>
    </row>
    <row r="106">
      <c r="B106" s="25"/>
      <c r="C106" s="25"/>
      <c r="D106" s="14" t="s">
        <v>107</v>
      </c>
      <c r="E106" s="14">
        <v>3.0</v>
      </c>
      <c r="F106" s="17">
        <v>18000.0</v>
      </c>
      <c r="G106" s="25">
        <f t="shared" si="1"/>
        <v>54000</v>
      </c>
      <c r="H106" s="28"/>
      <c r="I106" s="25">
        <f t="shared" si="2"/>
        <v>3</v>
      </c>
      <c r="J106" s="35"/>
    </row>
    <row r="107">
      <c r="B107" s="25"/>
      <c r="C107" s="25"/>
      <c r="D107" s="14" t="s">
        <v>71</v>
      </c>
      <c r="E107" s="14">
        <v>3.0</v>
      </c>
      <c r="F107" s="17">
        <v>18000.0</v>
      </c>
      <c r="G107" s="25">
        <f t="shared" si="1"/>
        <v>54000</v>
      </c>
      <c r="H107" s="28"/>
      <c r="I107" s="25">
        <f t="shared" si="2"/>
        <v>3</v>
      </c>
      <c r="J107" s="35"/>
    </row>
    <row r="108">
      <c r="B108" s="25"/>
      <c r="C108" s="25"/>
      <c r="D108" s="14" t="s">
        <v>53</v>
      </c>
      <c r="E108" s="14">
        <v>3.0</v>
      </c>
      <c r="F108" s="17">
        <v>15000.0</v>
      </c>
      <c r="G108" s="25">
        <f t="shared" si="1"/>
        <v>45000</v>
      </c>
      <c r="H108" s="28"/>
      <c r="I108" s="25">
        <f t="shared" si="2"/>
        <v>3</v>
      </c>
      <c r="J108" s="35"/>
    </row>
    <row r="109">
      <c r="B109" s="25"/>
      <c r="C109" s="25"/>
      <c r="D109" s="14" t="s">
        <v>109</v>
      </c>
      <c r="E109" s="14">
        <v>2.0</v>
      </c>
      <c r="F109" s="17">
        <v>18000.0</v>
      </c>
      <c r="G109" s="25">
        <f t="shared" si="1"/>
        <v>36000</v>
      </c>
      <c r="H109" s="28"/>
      <c r="I109" s="25">
        <f t="shared" si="2"/>
        <v>2</v>
      </c>
      <c r="J109" s="35"/>
    </row>
    <row r="110">
      <c r="B110" s="25"/>
      <c r="C110" s="25"/>
      <c r="D110" s="14" t="s">
        <v>120</v>
      </c>
      <c r="E110" s="14">
        <v>1.0</v>
      </c>
      <c r="F110" s="17">
        <v>46750.0</v>
      </c>
      <c r="G110" s="25">
        <f t="shared" si="1"/>
        <v>46750</v>
      </c>
      <c r="H110" s="28"/>
      <c r="I110" s="25">
        <f t="shared" si="2"/>
        <v>1</v>
      </c>
      <c r="J110" s="13"/>
    </row>
    <row r="111">
      <c r="B111" s="9" t="s">
        <v>122</v>
      </c>
      <c r="C111" s="12">
        <v>45723.0</v>
      </c>
      <c r="D111" s="14" t="s">
        <v>56</v>
      </c>
      <c r="E111" s="14">
        <v>17.0</v>
      </c>
      <c r="F111" s="17">
        <v>15000.0</v>
      </c>
      <c r="G111" s="25">
        <f t="shared" si="1"/>
        <v>255000</v>
      </c>
      <c r="H111" s="28"/>
      <c r="I111" s="25">
        <f t="shared" si="2"/>
        <v>17</v>
      </c>
      <c r="J111" s="29">
        <f>SUM(I111:I127)</f>
        <v>125</v>
      </c>
    </row>
    <row r="112">
      <c r="B112" s="25"/>
      <c r="C112" s="25"/>
      <c r="D112" s="14" t="s">
        <v>17</v>
      </c>
      <c r="E112" s="14">
        <v>17.0</v>
      </c>
      <c r="F112" s="17">
        <v>18000.0</v>
      </c>
      <c r="G112" s="25">
        <f t="shared" si="1"/>
        <v>306000</v>
      </c>
      <c r="H112" s="28"/>
      <c r="I112" s="25">
        <f t="shared" si="2"/>
        <v>17</v>
      </c>
      <c r="J112" s="35"/>
    </row>
    <row r="113">
      <c r="B113" s="25"/>
      <c r="C113" s="25"/>
      <c r="D113" s="14" t="s">
        <v>52</v>
      </c>
      <c r="E113" s="14">
        <v>17.0</v>
      </c>
      <c r="F113" s="17">
        <v>5000.0</v>
      </c>
      <c r="G113" s="25">
        <f t="shared" si="1"/>
        <v>85000</v>
      </c>
      <c r="H113" s="28"/>
      <c r="I113" s="25">
        <f t="shared" si="2"/>
        <v>17</v>
      </c>
      <c r="J113" s="35"/>
    </row>
    <row r="114">
      <c r="B114" s="25"/>
      <c r="C114" s="25"/>
      <c r="D114" s="14" t="s">
        <v>60</v>
      </c>
      <c r="E114" s="14">
        <v>14.0</v>
      </c>
      <c r="F114" s="17">
        <v>15000.0</v>
      </c>
      <c r="G114" s="25">
        <f t="shared" si="1"/>
        <v>210000</v>
      </c>
      <c r="H114" s="28"/>
      <c r="I114" s="25">
        <f t="shared" si="2"/>
        <v>14</v>
      </c>
      <c r="J114" s="35"/>
    </row>
    <row r="115">
      <c r="B115" s="25"/>
      <c r="C115" s="25"/>
      <c r="D115" s="14" t="s">
        <v>69</v>
      </c>
      <c r="E115" s="14">
        <v>9.0</v>
      </c>
      <c r="F115" s="17">
        <v>13000.0</v>
      </c>
      <c r="G115" s="25">
        <f t="shared" si="1"/>
        <v>117000</v>
      </c>
      <c r="H115" s="28"/>
      <c r="I115" s="25">
        <f t="shared" si="2"/>
        <v>9</v>
      </c>
      <c r="J115" s="35"/>
    </row>
    <row r="116">
      <c r="B116" s="25"/>
      <c r="C116" s="25"/>
      <c r="D116" s="14" t="s">
        <v>65</v>
      </c>
      <c r="E116" s="14">
        <v>8.0</v>
      </c>
      <c r="F116" s="17">
        <v>13000.0</v>
      </c>
      <c r="G116" s="25">
        <f t="shared" si="1"/>
        <v>104000</v>
      </c>
      <c r="H116" s="28"/>
      <c r="I116" s="25">
        <f t="shared" si="2"/>
        <v>8</v>
      </c>
      <c r="J116" s="35"/>
    </row>
    <row r="117">
      <c r="B117" s="25"/>
      <c r="C117" s="25"/>
      <c r="D117" s="14" t="s">
        <v>76</v>
      </c>
      <c r="E117" s="14">
        <v>7.0</v>
      </c>
      <c r="F117" s="17">
        <v>10000.0</v>
      </c>
      <c r="G117" s="25">
        <f t="shared" si="1"/>
        <v>70000</v>
      </c>
      <c r="H117" s="28"/>
      <c r="I117" s="25">
        <f t="shared" si="2"/>
        <v>7</v>
      </c>
      <c r="J117" s="35"/>
    </row>
    <row r="118">
      <c r="B118" s="25"/>
      <c r="C118" s="25"/>
      <c r="D118" s="14" t="s">
        <v>62</v>
      </c>
      <c r="E118" s="14">
        <v>6.0</v>
      </c>
      <c r="F118" s="17">
        <v>15000.0</v>
      </c>
      <c r="G118" s="25">
        <f t="shared" si="1"/>
        <v>90000</v>
      </c>
      <c r="H118" s="28"/>
      <c r="I118" s="25">
        <f t="shared" si="2"/>
        <v>6</v>
      </c>
      <c r="J118" s="35"/>
    </row>
    <row r="119">
      <c r="B119" s="25"/>
      <c r="C119" s="25"/>
      <c r="D119" s="14" t="s">
        <v>109</v>
      </c>
      <c r="E119" s="14">
        <v>6.0</v>
      </c>
      <c r="F119" s="17">
        <v>18000.0</v>
      </c>
      <c r="G119" s="25">
        <f t="shared" si="1"/>
        <v>108000</v>
      </c>
      <c r="H119" s="28"/>
      <c r="I119" s="25">
        <f t="shared" si="2"/>
        <v>6</v>
      </c>
      <c r="J119" s="35"/>
    </row>
    <row r="120">
      <c r="B120" s="25"/>
      <c r="C120" s="25"/>
      <c r="D120" s="14" t="s">
        <v>89</v>
      </c>
      <c r="E120" s="14">
        <v>5.0</v>
      </c>
      <c r="F120" s="17">
        <v>15000.0</v>
      </c>
      <c r="G120" s="25">
        <f t="shared" si="1"/>
        <v>75000</v>
      </c>
      <c r="H120" s="28"/>
      <c r="I120" s="25">
        <f t="shared" si="2"/>
        <v>5</v>
      </c>
      <c r="J120" s="35"/>
    </row>
    <row r="121">
      <c r="B121" s="25"/>
      <c r="C121" s="25"/>
      <c r="D121" s="14" t="s">
        <v>71</v>
      </c>
      <c r="E121" s="14">
        <v>5.0</v>
      </c>
      <c r="F121" s="17">
        <v>18000.0</v>
      </c>
      <c r="G121" s="25">
        <f t="shared" si="1"/>
        <v>90000</v>
      </c>
      <c r="H121" s="28"/>
      <c r="I121" s="25">
        <f t="shared" si="2"/>
        <v>5</v>
      </c>
      <c r="J121" s="35"/>
    </row>
    <row r="122">
      <c r="B122" s="25"/>
      <c r="C122" s="25"/>
      <c r="D122" s="14" t="s">
        <v>72</v>
      </c>
      <c r="E122" s="14">
        <v>3.0</v>
      </c>
      <c r="F122" s="17">
        <v>13000.0</v>
      </c>
      <c r="G122" s="25">
        <f t="shared" si="1"/>
        <v>39000</v>
      </c>
      <c r="H122" s="28"/>
      <c r="I122" s="25">
        <f t="shared" si="2"/>
        <v>3</v>
      </c>
      <c r="J122" s="35"/>
    </row>
    <row r="123">
      <c r="B123" s="25"/>
      <c r="C123" s="25"/>
      <c r="D123" s="14" t="s">
        <v>101</v>
      </c>
      <c r="E123" s="14">
        <v>3.0</v>
      </c>
      <c r="F123" s="17">
        <v>13000.0</v>
      </c>
      <c r="G123" s="25">
        <f t="shared" si="1"/>
        <v>39000</v>
      </c>
      <c r="H123" s="28"/>
      <c r="I123" s="25">
        <f t="shared" si="2"/>
        <v>3</v>
      </c>
      <c r="J123" s="35"/>
    </row>
    <row r="124">
      <c r="B124" s="25"/>
      <c r="C124" s="25"/>
      <c r="D124" s="14" t="s">
        <v>53</v>
      </c>
      <c r="E124" s="14">
        <v>3.0</v>
      </c>
      <c r="F124" s="17">
        <v>15000.0</v>
      </c>
      <c r="G124" s="25">
        <f t="shared" si="1"/>
        <v>45000</v>
      </c>
      <c r="H124" s="28"/>
      <c r="I124" s="25">
        <f t="shared" si="2"/>
        <v>3</v>
      </c>
      <c r="J124" s="35"/>
    </row>
    <row r="125">
      <c r="B125" s="25"/>
      <c r="C125" s="25"/>
      <c r="D125" s="14" t="s">
        <v>59</v>
      </c>
      <c r="E125" s="14">
        <v>2.0</v>
      </c>
      <c r="F125" s="17">
        <v>10000.0</v>
      </c>
      <c r="G125" s="25">
        <f t="shared" si="1"/>
        <v>20000</v>
      </c>
      <c r="H125" s="28"/>
      <c r="I125" s="25">
        <f t="shared" si="2"/>
        <v>2</v>
      </c>
      <c r="J125" s="35"/>
    </row>
    <row r="126">
      <c r="B126" s="25"/>
      <c r="C126" s="25"/>
      <c r="D126" s="14" t="s">
        <v>77</v>
      </c>
      <c r="E126" s="14">
        <v>2.0</v>
      </c>
      <c r="F126" s="17">
        <v>15000.0</v>
      </c>
      <c r="G126" s="25">
        <f t="shared" si="1"/>
        <v>30000</v>
      </c>
      <c r="H126" s="28"/>
      <c r="I126" s="25">
        <f t="shared" si="2"/>
        <v>2</v>
      </c>
      <c r="J126" s="35"/>
    </row>
    <row r="127">
      <c r="B127" s="25"/>
      <c r="C127" s="25"/>
      <c r="D127" s="14" t="s">
        <v>107</v>
      </c>
      <c r="E127" s="14">
        <v>1.0</v>
      </c>
      <c r="F127" s="17">
        <v>18000.0</v>
      </c>
      <c r="G127" s="25">
        <f t="shared" si="1"/>
        <v>18000</v>
      </c>
      <c r="H127" s="28"/>
      <c r="I127" s="25">
        <f t="shared" si="2"/>
        <v>1</v>
      </c>
      <c r="J127" s="13"/>
    </row>
    <row r="128">
      <c r="B128" s="9" t="s">
        <v>124</v>
      </c>
      <c r="C128" s="12">
        <v>45724.0</v>
      </c>
      <c r="D128" s="14" t="s">
        <v>17</v>
      </c>
      <c r="E128" s="14">
        <v>20.0</v>
      </c>
      <c r="F128" s="17">
        <v>18000.0</v>
      </c>
      <c r="G128" s="25">
        <f t="shared" si="1"/>
        <v>360000</v>
      </c>
      <c r="H128" s="28"/>
      <c r="I128" s="25">
        <f t="shared" si="2"/>
        <v>20</v>
      </c>
      <c r="J128" s="29">
        <f>SUM(I128:I145)</f>
        <v>135</v>
      </c>
    </row>
    <row r="129">
      <c r="B129" s="25"/>
      <c r="C129" s="25"/>
      <c r="D129" s="14" t="s">
        <v>56</v>
      </c>
      <c r="E129" s="14">
        <v>18.0</v>
      </c>
      <c r="F129" s="17">
        <v>15000.0</v>
      </c>
      <c r="G129" s="25">
        <f t="shared" si="1"/>
        <v>270000</v>
      </c>
      <c r="H129" s="28"/>
      <c r="I129" s="25">
        <f t="shared" si="2"/>
        <v>18</v>
      </c>
      <c r="J129" s="35"/>
    </row>
    <row r="130">
      <c r="B130" s="25"/>
      <c r="C130" s="25"/>
      <c r="D130" s="14" t="s">
        <v>60</v>
      </c>
      <c r="E130" s="14">
        <v>15.0</v>
      </c>
      <c r="F130" s="17">
        <v>15000.0</v>
      </c>
      <c r="G130" s="25">
        <f t="shared" si="1"/>
        <v>225000</v>
      </c>
      <c r="H130" s="28"/>
      <c r="I130" s="25">
        <f t="shared" si="2"/>
        <v>15</v>
      </c>
      <c r="J130" s="35"/>
    </row>
    <row r="131">
      <c r="B131" s="25"/>
      <c r="C131" s="25"/>
      <c r="D131" s="14" t="s">
        <v>62</v>
      </c>
      <c r="E131" s="14">
        <v>12.0</v>
      </c>
      <c r="F131" s="17">
        <v>15000.0</v>
      </c>
      <c r="G131" s="25">
        <f t="shared" si="1"/>
        <v>180000</v>
      </c>
      <c r="H131" s="28"/>
      <c r="I131" s="25">
        <f t="shared" si="2"/>
        <v>12</v>
      </c>
      <c r="J131" s="35"/>
    </row>
    <row r="132">
      <c r="B132" s="25"/>
      <c r="C132" s="25"/>
      <c r="D132" s="14" t="s">
        <v>101</v>
      </c>
      <c r="E132" s="14">
        <v>9.0</v>
      </c>
      <c r="F132" s="17">
        <v>13000.0</v>
      </c>
      <c r="G132" s="25">
        <f t="shared" si="1"/>
        <v>117000</v>
      </c>
      <c r="H132" s="28"/>
      <c r="I132" s="25">
        <f t="shared" si="2"/>
        <v>9</v>
      </c>
      <c r="J132" s="35"/>
    </row>
    <row r="133">
      <c r="B133" s="25"/>
      <c r="C133" s="25"/>
      <c r="D133" s="14" t="s">
        <v>76</v>
      </c>
      <c r="E133" s="14">
        <v>9.0</v>
      </c>
      <c r="F133" s="17">
        <v>10000.0</v>
      </c>
      <c r="G133" s="25">
        <f t="shared" si="1"/>
        <v>90000</v>
      </c>
      <c r="H133" s="28"/>
      <c r="I133" s="25">
        <f t="shared" si="2"/>
        <v>9</v>
      </c>
      <c r="J133" s="35"/>
    </row>
    <row r="134">
      <c r="B134" s="25"/>
      <c r="C134" s="25"/>
      <c r="D134" s="14" t="s">
        <v>116</v>
      </c>
      <c r="E134" s="14">
        <v>8.0</v>
      </c>
      <c r="F134" s="17">
        <v>23800.0</v>
      </c>
      <c r="G134" s="25">
        <f t="shared" si="1"/>
        <v>190400</v>
      </c>
      <c r="H134" s="28"/>
      <c r="I134" s="25">
        <f t="shared" si="2"/>
        <v>8</v>
      </c>
      <c r="J134" s="35"/>
    </row>
    <row r="135">
      <c r="B135" s="25"/>
      <c r="C135" s="25"/>
      <c r="D135" s="14" t="s">
        <v>65</v>
      </c>
      <c r="E135" s="14">
        <v>8.0</v>
      </c>
      <c r="F135" s="17">
        <v>13000.0</v>
      </c>
      <c r="G135" s="25">
        <f t="shared" si="1"/>
        <v>104000</v>
      </c>
      <c r="H135" s="28"/>
      <c r="I135" s="25">
        <f t="shared" si="2"/>
        <v>8</v>
      </c>
      <c r="J135" s="35"/>
    </row>
    <row r="136">
      <c r="B136" s="25"/>
      <c r="C136" s="25"/>
      <c r="D136" s="14" t="s">
        <v>69</v>
      </c>
      <c r="E136" s="14">
        <v>6.0</v>
      </c>
      <c r="F136" s="17">
        <v>13000.0</v>
      </c>
      <c r="G136" s="25">
        <f t="shared" si="1"/>
        <v>78000</v>
      </c>
      <c r="H136" s="28"/>
      <c r="I136" s="25">
        <f t="shared" si="2"/>
        <v>6</v>
      </c>
      <c r="J136" s="35"/>
    </row>
    <row r="137">
      <c r="B137" s="25"/>
      <c r="C137" s="25"/>
      <c r="D137" s="14" t="s">
        <v>59</v>
      </c>
      <c r="E137" s="14">
        <v>5.0</v>
      </c>
      <c r="F137" s="17">
        <v>10000.0</v>
      </c>
      <c r="G137" s="25">
        <f t="shared" si="1"/>
        <v>50000</v>
      </c>
      <c r="H137" s="28"/>
      <c r="I137" s="25">
        <f t="shared" si="2"/>
        <v>5</v>
      </c>
      <c r="J137" s="35"/>
    </row>
    <row r="138">
      <c r="B138" s="25"/>
      <c r="C138" s="25"/>
      <c r="D138" s="14" t="s">
        <v>28</v>
      </c>
      <c r="E138" s="14">
        <v>5.0</v>
      </c>
      <c r="F138" s="17">
        <v>15000.0</v>
      </c>
      <c r="G138" s="25">
        <f t="shared" si="1"/>
        <v>75000</v>
      </c>
      <c r="H138" s="28"/>
      <c r="I138" s="25">
        <f t="shared" si="2"/>
        <v>5</v>
      </c>
      <c r="J138" s="35"/>
    </row>
    <row r="139">
      <c r="B139" s="25"/>
      <c r="C139" s="25"/>
      <c r="D139" s="14" t="s">
        <v>77</v>
      </c>
      <c r="E139" s="14">
        <v>5.0</v>
      </c>
      <c r="F139" s="17">
        <v>15000.0</v>
      </c>
      <c r="G139" s="25">
        <f t="shared" si="1"/>
        <v>75000</v>
      </c>
      <c r="H139" s="28"/>
      <c r="I139" s="25">
        <f t="shared" si="2"/>
        <v>5</v>
      </c>
      <c r="J139" s="35"/>
    </row>
    <row r="140">
      <c r="B140" s="25"/>
      <c r="C140" s="25"/>
      <c r="D140" s="14" t="s">
        <v>72</v>
      </c>
      <c r="E140" s="14">
        <v>4.0</v>
      </c>
      <c r="F140" s="17">
        <v>13000.0</v>
      </c>
      <c r="G140" s="25">
        <f t="shared" si="1"/>
        <v>52000</v>
      </c>
      <c r="H140" s="28"/>
      <c r="I140" s="25">
        <f t="shared" si="2"/>
        <v>4</v>
      </c>
      <c r="J140" s="35"/>
    </row>
    <row r="141">
      <c r="B141" s="25"/>
      <c r="C141" s="25"/>
      <c r="D141" s="14" t="s">
        <v>120</v>
      </c>
      <c r="E141" s="14">
        <v>3.0</v>
      </c>
      <c r="F141" s="17">
        <v>46750.0</v>
      </c>
      <c r="G141" s="25">
        <f t="shared" si="1"/>
        <v>140250</v>
      </c>
      <c r="H141" s="28"/>
      <c r="I141" s="25">
        <f t="shared" si="2"/>
        <v>3</v>
      </c>
      <c r="J141" s="35"/>
    </row>
    <row r="142">
      <c r="B142" s="25"/>
      <c r="C142" s="25"/>
      <c r="D142" s="14" t="s">
        <v>71</v>
      </c>
      <c r="E142" s="14">
        <v>3.0</v>
      </c>
      <c r="F142" s="17">
        <v>18000.0</v>
      </c>
      <c r="G142" s="25">
        <f t="shared" si="1"/>
        <v>54000</v>
      </c>
      <c r="H142" s="28"/>
      <c r="I142" s="25">
        <f t="shared" si="2"/>
        <v>3</v>
      </c>
      <c r="J142" s="35"/>
    </row>
    <row r="143">
      <c r="B143" s="25"/>
      <c r="C143" s="25"/>
      <c r="D143" s="14" t="s">
        <v>53</v>
      </c>
      <c r="E143" s="14">
        <v>3.0</v>
      </c>
      <c r="F143" s="17">
        <v>15000.0</v>
      </c>
      <c r="G143" s="25">
        <f t="shared" si="1"/>
        <v>45000</v>
      </c>
      <c r="H143" s="28"/>
      <c r="I143" s="25">
        <f t="shared" si="2"/>
        <v>3</v>
      </c>
      <c r="J143" s="35"/>
    </row>
    <row r="144">
      <c r="B144" s="25"/>
      <c r="C144" s="25"/>
      <c r="D144" s="14" t="s">
        <v>89</v>
      </c>
      <c r="E144" s="14">
        <v>1.0</v>
      </c>
      <c r="F144" s="17">
        <v>15000.0</v>
      </c>
      <c r="G144" s="25">
        <f t="shared" si="1"/>
        <v>15000</v>
      </c>
      <c r="H144" s="28"/>
      <c r="I144" s="25">
        <f t="shared" si="2"/>
        <v>1</v>
      </c>
      <c r="J144" s="35"/>
    </row>
    <row r="145">
      <c r="B145" s="25"/>
      <c r="C145" s="25"/>
      <c r="D145" s="14" t="s">
        <v>112</v>
      </c>
      <c r="E145" s="14">
        <v>1.0</v>
      </c>
      <c r="F145" s="17">
        <v>89250.0</v>
      </c>
      <c r="G145" s="25">
        <f t="shared" si="1"/>
        <v>89250</v>
      </c>
      <c r="H145" s="28"/>
      <c r="I145" s="25">
        <f t="shared" si="2"/>
        <v>1</v>
      </c>
      <c r="J145" s="13"/>
    </row>
    <row r="146">
      <c r="B146" s="9" t="s">
        <v>126</v>
      </c>
      <c r="C146" s="12">
        <v>45725.0</v>
      </c>
      <c r="D146" s="14" t="s">
        <v>60</v>
      </c>
      <c r="E146" s="14">
        <v>24.0</v>
      </c>
      <c r="F146" s="17">
        <v>15000.0</v>
      </c>
      <c r="G146" s="25">
        <f t="shared" si="1"/>
        <v>360000</v>
      </c>
      <c r="H146" s="28"/>
      <c r="I146" s="25">
        <f t="shared" si="2"/>
        <v>24</v>
      </c>
      <c r="J146" s="29">
        <f>SUM(I146:I163)</f>
        <v>135</v>
      </c>
    </row>
    <row r="147">
      <c r="B147" s="25"/>
      <c r="C147" s="25"/>
      <c r="D147" s="14" t="s">
        <v>17</v>
      </c>
      <c r="E147" s="14">
        <v>20.0</v>
      </c>
      <c r="F147" s="17">
        <v>18000.0</v>
      </c>
      <c r="G147" s="25">
        <f t="shared" si="1"/>
        <v>360000</v>
      </c>
      <c r="H147" s="28"/>
      <c r="I147" s="25">
        <f t="shared" si="2"/>
        <v>20</v>
      </c>
      <c r="J147" s="35"/>
    </row>
    <row r="148">
      <c r="B148" s="25"/>
      <c r="C148" s="25"/>
      <c r="D148" s="14" t="s">
        <v>77</v>
      </c>
      <c r="E148" s="14">
        <v>11.0</v>
      </c>
      <c r="F148" s="17">
        <v>15000.0</v>
      </c>
      <c r="G148" s="25">
        <f t="shared" si="1"/>
        <v>165000</v>
      </c>
      <c r="H148" s="28"/>
      <c r="I148" s="25">
        <f t="shared" si="2"/>
        <v>11</v>
      </c>
      <c r="J148" s="35"/>
    </row>
    <row r="149">
      <c r="B149" s="25"/>
      <c r="C149" s="25"/>
      <c r="D149" s="14" t="s">
        <v>72</v>
      </c>
      <c r="E149" s="14">
        <v>11.0</v>
      </c>
      <c r="F149" s="17">
        <v>13000.0</v>
      </c>
      <c r="G149" s="25">
        <f t="shared" si="1"/>
        <v>143000</v>
      </c>
      <c r="H149" s="28"/>
      <c r="I149" s="25">
        <f t="shared" si="2"/>
        <v>11</v>
      </c>
      <c r="J149" s="35"/>
    </row>
    <row r="150">
      <c r="B150" s="25"/>
      <c r="C150" s="25"/>
      <c r="D150" s="14" t="s">
        <v>69</v>
      </c>
      <c r="E150" s="14">
        <v>11.0</v>
      </c>
      <c r="F150" s="17">
        <v>13000.0</v>
      </c>
      <c r="G150" s="25">
        <f t="shared" si="1"/>
        <v>143000</v>
      </c>
      <c r="H150" s="28"/>
      <c r="I150" s="25">
        <f t="shared" si="2"/>
        <v>11</v>
      </c>
      <c r="J150" s="35"/>
    </row>
    <row r="151">
      <c r="B151" s="25"/>
      <c r="C151" s="25"/>
      <c r="D151" s="14" t="s">
        <v>56</v>
      </c>
      <c r="E151" s="14">
        <v>11.0</v>
      </c>
      <c r="F151" s="17">
        <v>15000.0</v>
      </c>
      <c r="G151" s="25">
        <f t="shared" si="1"/>
        <v>165000</v>
      </c>
      <c r="H151" s="28"/>
      <c r="I151" s="25">
        <f t="shared" si="2"/>
        <v>11</v>
      </c>
      <c r="J151" s="35"/>
    </row>
    <row r="152">
      <c r="B152" s="25"/>
      <c r="C152" s="25"/>
      <c r="D152" s="14" t="s">
        <v>62</v>
      </c>
      <c r="E152" s="14">
        <v>10.0</v>
      </c>
      <c r="F152" s="17">
        <v>15000.0</v>
      </c>
      <c r="G152" s="25">
        <f t="shared" si="1"/>
        <v>150000</v>
      </c>
      <c r="H152" s="28"/>
      <c r="I152" s="25">
        <f t="shared" si="2"/>
        <v>10</v>
      </c>
      <c r="J152" s="35"/>
    </row>
    <row r="153">
      <c r="B153" s="25"/>
      <c r="C153" s="25"/>
      <c r="D153" s="14" t="s">
        <v>65</v>
      </c>
      <c r="E153" s="14">
        <v>8.0</v>
      </c>
      <c r="F153" s="17">
        <v>13000.0</v>
      </c>
      <c r="G153" s="25">
        <f t="shared" si="1"/>
        <v>104000</v>
      </c>
      <c r="H153" s="28"/>
      <c r="I153" s="25">
        <f t="shared" si="2"/>
        <v>8</v>
      </c>
      <c r="J153" s="35"/>
    </row>
    <row r="154">
      <c r="B154" s="25"/>
      <c r="C154" s="25"/>
      <c r="D154" s="14" t="s">
        <v>76</v>
      </c>
      <c r="E154" s="14">
        <v>7.0</v>
      </c>
      <c r="F154" s="17">
        <v>10000.0</v>
      </c>
      <c r="G154" s="25">
        <f t="shared" si="1"/>
        <v>70000</v>
      </c>
      <c r="H154" s="28"/>
      <c r="I154" s="25">
        <f t="shared" si="2"/>
        <v>7</v>
      </c>
      <c r="J154" s="35"/>
    </row>
    <row r="155">
      <c r="B155" s="25"/>
      <c r="C155" s="25"/>
      <c r="D155" s="14" t="s">
        <v>101</v>
      </c>
      <c r="E155" s="14">
        <v>6.0</v>
      </c>
      <c r="F155" s="17">
        <v>13000.0</v>
      </c>
      <c r="G155" s="25">
        <f t="shared" si="1"/>
        <v>78000</v>
      </c>
      <c r="H155" s="28"/>
      <c r="I155" s="25">
        <f t="shared" si="2"/>
        <v>6</v>
      </c>
      <c r="J155" s="35"/>
    </row>
    <row r="156">
      <c r="B156" s="25"/>
      <c r="C156" s="25"/>
      <c r="D156" s="14" t="s">
        <v>28</v>
      </c>
      <c r="E156" s="14">
        <v>5.0</v>
      </c>
      <c r="F156" s="34">
        <v>15000.0</v>
      </c>
      <c r="G156" s="25">
        <f t="shared" si="1"/>
        <v>75000</v>
      </c>
      <c r="H156" s="28"/>
      <c r="I156" s="25">
        <f t="shared" si="2"/>
        <v>5</v>
      </c>
      <c r="J156" s="35"/>
    </row>
    <row r="157">
      <c r="B157" s="25"/>
      <c r="C157" s="25"/>
      <c r="D157" s="14" t="s">
        <v>111</v>
      </c>
      <c r="E157" s="14">
        <v>3.0</v>
      </c>
      <c r="F157" s="17">
        <v>47750.0</v>
      </c>
      <c r="G157" s="25">
        <f t="shared" si="1"/>
        <v>143250</v>
      </c>
      <c r="H157" s="28"/>
      <c r="I157" s="25">
        <f t="shared" si="2"/>
        <v>3</v>
      </c>
      <c r="J157" s="35"/>
    </row>
    <row r="158">
      <c r="B158" s="25"/>
      <c r="C158" s="25"/>
      <c r="D158" s="14" t="s">
        <v>89</v>
      </c>
      <c r="E158" s="14">
        <v>2.0</v>
      </c>
      <c r="F158" s="34">
        <v>15000.0</v>
      </c>
      <c r="G158" s="25">
        <f t="shared" si="1"/>
        <v>30000</v>
      </c>
      <c r="H158" s="28"/>
      <c r="I158" s="25">
        <f t="shared" si="2"/>
        <v>2</v>
      </c>
      <c r="J158" s="35"/>
    </row>
    <row r="159">
      <c r="B159" s="25"/>
      <c r="C159" s="25"/>
      <c r="D159" s="14" t="s">
        <v>71</v>
      </c>
      <c r="E159" s="14">
        <v>2.0</v>
      </c>
      <c r="F159" s="17">
        <v>18000.0</v>
      </c>
      <c r="G159" s="25">
        <f t="shared" si="1"/>
        <v>36000</v>
      </c>
      <c r="H159" s="28"/>
      <c r="I159" s="25">
        <f t="shared" si="2"/>
        <v>2</v>
      </c>
      <c r="J159" s="35"/>
    </row>
    <row r="160">
      <c r="B160" s="25"/>
      <c r="C160" s="25"/>
      <c r="D160" s="14" t="s">
        <v>109</v>
      </c>
      <c r="E160" s="14">
        <v>1.0</v>
      </c>
      <c r="F160" s="17">
        <v>18000.0</v>
      </c>
      <c r="G160" s="25">
        <f t="shared" si="1"/>
        <v>18000</v>
      </c>
      <c r="H160" s="28"/>
      <c r="I160" s="25">
        <f t="shared" si="2"/>
        <v>1</v>
      </c>
      <c r="J160" s="35"/>
    </row>
    <row r="161">
      <c r="B161" s="25"/>
      <c r="C161" s="25"/>
      <c r="D161" s="14" t="s">
        <v>107</v>
      </c>
      <c r="E161" s="14">
        <v>1.0</v>
      </c>
      <c r="F161" s="17">
        <v>18000.0</v>
      </c>
      <c r="G161" s="25">
        <f t="shared" si="1"/>
        <v>18000</v>
      </c>
      <c r="H161" s="28"/>
      <c r="I161" s="25">
        <f t="shared" si="2"/>
        <v>1</v>
      </c>
      <c r="J161" s="35"/>
    </row>
    <row r="162">
      <c r="B162" s="33"/>
      <c r="C162" s="33"/>
      <c r="D162" s="14" t="s">
        <v>112</v>
      </c>
      <c r="E162" s="14">
        <v>1.0</v>
      </c>
      <c r="F162" s="17">
        <v>89250.0</v>
      </c>
      <c r="G162" s="25">
        <f t="shared" si="1"/>
        <v>89250</v>
      </c>
      <c r="H162" s="28"/>
      <c r="I162" s="25">
        <f t="shared" si="2"/>
        <v>1</v>
      </c>
      <c r="J162" s="35"/>
    </row>
    <row r="163">
      <c r="B163" s="33"/>
      <c r="C163" s="33"/>
      <c r="D163" s="14" t="s">
        <v>53</v>
      </c>
      <c r="E163" s="14">
        <v>1.0</v>
      </c>
      <c r="F163" s="34">
        <v>15000.0</v>
      </c>
      <c r="G163" s="25">
        <f t="shared" si="1"/>
        <v>15000</v>
      </c>
      <c r="H163" s="28"/>
      <c r="I163" s="25">
        <f t="shared" si="2"/>
        <v>1</v>
      </c>
      <c r="J163" s="13"/>
    </row>
    <row r="164">
      <c r="B164" s="9" t="s">
        <v>127</v>
      </c>
      <c r="C164" s="69">
        <v>45726.0</v>
      </c>
      <c r="D164" s="14" t="s">
        <v>17</v>
      </c>
      <c r="E164" s="14">
        <v>43.0</v>
      </c>
      <c r="F164" s="17">
        <v>18000.0</v>
      </c>
      <c r="G164" s="25">
        <f t="shared" si="1"/>
        <v>774000</v>
      </c>
      <c r="H164" s="28"/>
      <c r="I164" s="25">
        <f t="shared" si="2"/>
        <v>43</v>
      </c>
      <c r="J164" s="29">
        <f>SUM(I164:I179)</f>
        <v>155</v>
      </c>
    </row>
    <row r="165">
      <c r="B165" s="33"/>
      <c r="C165" s="33"/>
      <c r="D165" s="14" t="s">
        <v>60</v>
      </c>
      <c r="E165" s="14">
        <v>23.0</v>
      </c>
      <c r="F165" s="34">
        <v>15000.0</v>
      </c>
      <c r="G165" s="25">
        <f t="shared" si="1"/>
        <v>345000</v>
      </c>
      <c r="H165" s="28"/>
      <c r="I165" s="25">
        <f t="shared" si="2"/>
        <v>23</v>
      </c>
      <c r="J165" s="35"/>
    </row>
    <row r="166">
      <c r="B166" s="33"/>
      <c r="C166" s="33"/>
      <c r="D166" s="14" t="s">
        <v>56</v>
      </c>
      <c r="E166" s="14">
        <v>12.0</v>
      </c>
      <c r="F166" s="34">
        <v>15000.0</v>
      </c>
      <c r="G166" s="25">
        <f t="shared" si="1"/>
        <v>180000</v>
      </c>
      <c r="H166" s="28"/>
      <c r="I166" s="25">
        <f t="shared" si="2"/>
        <v>12</v>
      </c>
      <c r="J166" s="35"/>
    </row>
    <row r="167">
      <c r="B167" s="33"/>
      <c r="C167" s="33"/>
      <c r="D167" s="14" t="s">
        <v>62</v>
      </c>
      <c r="E167" s="14">
        <v>11.0</v>
      </c>
      <c r="F167" s="34">
        <v>15000.0</v>
      </c>
      <c r="G167" s="25">
        <f t="shared" si="1"/>
        <v>165000</v>
      </c>
      <c r="H167" s="28"/>
      <c r="I167" s="25">
        <f t="shared" si="2"/>
        <v>11</v>
      </c>
      <c r="J167" s="35"/>
    </row>
    <row r="168">
      <c r="B168" s="33"/>
      <c r="C168" s="33"/>
      <c r="D168" s="14" t="s">
        <v>72</v>
      </c>
      <c r="E168" s="14">
        <v>10.0</v>
      </c>
      <c r="F168" s="17">
        <v>13000.0</v>
      </c>
      <c r="G168" s="25">
        <f t="shared" si="1"/>
        <v>130000</v>
      </c>
      <c r="H168" s="28"/>
      <c r="I168" s="25">
        <f t="shared" si="2"/>
        <v>10</v>
      </c>
      <c r="J168" s="35"/>
    </row>
    <row r="169">
      <c r="B169" s="33"/>
      <c r="C169" s="33"/>
      <c r="D169" s="14" t="s">
        <v>77</v>
      </c>
      <c r="E169" s="14">
        <v>10.0</v>
      </c>
      <c r="F169" s="34">
        <v>15000.0</v>
      </c>
      <c r="G169" s="25">
        <f t="shared" si="1"/>
        <v>150000</v>
      </c>
      <c r="H169" s="28"/>
      <c r="I169" s="25">
        <f t="shared" si="2"/>
        <v>10</v>
      </c>
      <c r="J169" s="35"/>
    </row>
    <row r="170">
      <c r="B170" s="33"/>
      <c r="C170" s="33"/>
      <c r="D170" s="14" t="s">
        <v>69</v>
      </c>
      <c r="E170" s="14">
        <v>9.0</v>
      </c>
      <c r="F170" s="17">
        <v>13000.0</v>
      </c>
      <c r="G170" s="25">
        <f t="shared" si="1"/>
        <v>117000</v>
      </c>
      <c r="H170" s="28"/>
      <c r="I170" s="25">
        <f t="shared" si="2"/>
        <v>9</v>
      </c>
      <c r="J170" s="35"/>
    </row>
    <row r="171">
      <c r="B171" s="33"/>
      <c r="C171" s="33"/>
      <c r="D171" s="14" t="s">
        <v>101</v>
      </c>
      <c r="E171" s="14">
        <v>8.0</v>
      </c>
      <c r="F171" s="17">
        <v>13000.0</v>
      </c>
      <c r="G171" s="25">
        <f t="shared" si="1"/>
        <v>104000</v>
      </c>
      <c r="H171" s="28"/>
      <c r="I171" s="25">
        <f t="shared" si="2"/>
        <v>8</v>
      </c>
      <c r="J171" s="35"/>
    </row>
    <row r="172">
      <c r="B172" s="33"/>
      <c r="C172" s="33"/>
      <c r="D172" s="14" t="s">
        <v>76</v>
      </c>
      <c r="E172" s="14">
        <v>7.0</v>
      </c>
      <c r="F172" s="17">
        <v>10000.0</v>
      </c>
      <c r="G172" s="25">
        <f t="shared" si="1"/>
        <v>70000</v>
      </c>
      <c r="H172" s="28"/>
      <c r="I172" s="25">
        <f t="shared" si="2"/>
        <v>7</v>
      </c>
      <c r="J172" s="35"/>
    </row>
    <row r="173">
      <c r="B173" s="33"/>
      <c r="C173" s="33"/>
      <c r="D173" s="14" t="s">
        <v>28</v>
      </c>
      <c r="E173" s="14">
        <v>4.0</v>
      </c>
      <c r="F173" s="34">
        <v>15000.0</v>
      </c>
      <c r="G173" s="25">
        <f t="shared" si="1"/>
        <v>60000</v>
      </c>
      <c r="H173" s="28"/>
      <c r="I173" s="25">
        <f t="shared" si="2"/>
        <v>4</v>
      </c>
      <c r="J173" s="35"/>
    </row>
    <row r="174">
      <c r="B174" s="33"/>
      <c r="C174" s="33"/>
      <c r="D174" s="14" t="s">
        <v>59</v>
      </c>
      <c r="E174" s="14">
        <v>4.0</v>
      </c>
      <c r="F174" s="17">
        <v>10000.0</v>
      </c>
      <c r="G174" s="25">
        <f t="shared" si="1"/>
        <v>40000</v>
      </c>
      <c r="H174" s="28"/>
      <c r="I174" s="25">
        <f t="shared" si="2"/>
        <v>4</v>
      </c>
      <c r="J174" s="35"/>
    </row>
    <row r="175">
      <c r="B175" s="33"/>
      <c r="C175" s="33"/>
      <c r="D175" s="14" t="s">
        <v>107</v>
      </c>
      <c r="E175" s="14">
        <v>3.0</v>
      </c>
      <c r="F175" s="17">
        <v>18000.0</v>
      </c>
      <c r="G175" s="25">
        <f t="shared" si="1"/>
        <v>54000</v>
      </c>
      <c r="H175" s="28"/>
      <c r="I175" s="25">
        <f t="shared" si="2"/>
        <v>3</v>
      </c>
      <c r="J175" s="35"/>
    </row>
    <row r="176">
      <c r="B176" s="33"/>
      <c r="C176" s="33"/>
      <c r="D176" s="14" t="s">
        <v>71</v>
      </c>
      <c r="E176" s="14">
        <v>3.0</v>
      </c>
      <c r="F176" s="17">
        <v>18000.0</v>
      </c>
      <c r="G176" s="25">
        <f t="shared" si="1"/>
        <v>54000</v>
      </c>
      <c r="H176" s="28"/>
      <c r="I176" s="25">
        <f t="shared" si="2"/>
        <v>3</v>
      </c>
      <c r="J176" s="35"/>
    </row>
    <row r="177">
      <c r="B177" s="33"/>
      <c r="C177" s="33"/>
      <c r="D177" s="14" t="s">
        <v>65</v>
      </c>
      <c r="E177" s="14">
        <v>3.0</v>
      </c>
      <c r="F177" s="17">
        <v>13000.0</v>
      </c>
      <c r="G177" s="25">
        <f t="shared" si="1"/>
        <v>39000</v>
      </c>
      <c r="H177" s="28"/>
      <c r="I177" s="25">
        <f t="shared" si="2"/>
        <v>3</v>
      </c>
      <c r="J177" s="35"/>
    </row>
    <row r="178">
      <c r="B178" s="33"/>
      <c r="C178" s="33"/>
      <c r="D178" s="14" t="s">
        <v>53</v>
      </c>
      <c r="E178" s="14">
        <v>3.0</v>
      </c>
      <c r="F178" s="17">
        <v>15000.0</v>
      </c>
      <c r="G178" s="25">
        <f t="shared" si="1"/>
        <v>45000</v>
      </c>
      <c r="H178" s="28"/>
      <c r="I178" s="25">
        <f t="shared" si="2"/>
        <v>3</v>
      </c>
      <c r="J178" s="35"/>
    </row>
    <row r="179">
      <c r="B179" s="33"/>
      <c r="C179" s="33"/>
      <c r="D179" s="14" t="s">
        <v>109</v>
      </c>
      <c r="E179" s="14">
        <v>2.0</v>
      </c>
      <c r="F179" s="17">
        <v>18000.0</v>
      </c>
      <c r="G179" s="25">
        <f t="shared" si="1"/>
        <v>36000</v>
      </c>
      <c r="H179" s="28"/>
      <c r="I179" s="25">
        <f t="shared" si="2"/>
        <v>2</v>
      </c>
      <c r="J179" s="13"/>
    </row>
    <row r="180">
      <c r="B180" s="9" t="s">
        <v>129</v>
      </c>
      <c r="C180" s="69">
        <v>45727.0</v>
      </c>
      <c r="D180" s="14" t="s">
        <v>17</v>
      </c>
      <c r="E180" s="14">
        <v>29.0</v>
      </c>
      <c r="F180" s="17">
        <v>18000.0</v>
      </c>
      <c r="G180" s="25">
        <f t="shared" si="1"/>
        <v>522000</v>
      </c>
      <c r="H180" s="28"/>
      <c r="I180" s="25">
        <f t="shared" si="2"/>
        <v>29</v>
      </c>
      <c r="J180" s="29">
        <f>SUM(I180:I191)</f>
        <v>122</v>
      </c>
    </row>
    <row r="181">
      <c r="B181" s="33"/>
      <c r="C181" s="33"/>
      <c r="D181" s="14" t="s">
        <v>56</v>
      </c>
      <c r="E181" s="14">
        <v>19.0</v>
      </c>
      <c r="F181" s="17">
        <v>15000.0</v>
      </c>
      <c r="G181" s="25">
        <f t="shared" si="1"/>
        <v>285000</v>
      </c>
      <c r="H181" s="28"/>
      <c r="I181" s="25">
        <f t="shared" si="2"/>
        <v>19</v>
      </c>
      <c r="J181" s="35"/>
    </row>
    <row r="182">
      <c r="B182" s="33"/>
      <c r="C182" s="33"/>
      <c r="D182" s="14" t="s">
        <v>60</v>
      </c>
      <c r="E182" s="14">
        <v>17.0</v>
      </c>
      <c r="F182" s="17">
        <v>15000.0</v>
      </c>
      <c r="G182" s="25">
        <f t="shared" si="1"/>
        <v>255000</v>
      </c>
      <c r="H182" s="28"/>
      <c r="I182" s="25">
        <f t="shared" si="2"/>
        <v>17</v>
      </c>
      <c r="J182" s="35"/>
    </row>
    <row r="183">
      <c r="B183" s="33"/>
      <c r="C183" s="33"/>
      <c r="D183" s="14" t="s">
        <v>101</v>
      </c>
      <c r="E183" s="14">
        <v>13.0</v>
      </c>
      <c r="F183" s="17">
        <v>13000.0</v>
      </c>
      <c r="G183" s="25">
        <f t="shared" si="1"/>
        <v>169000</v>
      </c>
      <c r="H183" s="28"/>
      <c r="I183" s="25">
        <f t="shared" si="2"/>
        <v>13</v>
      </c>
      <c r="J183" s="35"/>
    </row>
    <row r="184">
      <c r="B184" s="33"/>
      <c r="C184" s="33"/>
      <c r="D184" s="14" t="s">
        <v>72</v>
      </c>
      <c r="E184" s="14">
        <v>12.0</v>
      </c>
      <c r="F184" s="17">
        <v>13000.0</v>
      </c>
      <c r="G184" s="25">
        <f t="shared" si="1"/>
        <v>156000</v>
      </c>
      <c r="H184" s="28"/>
      <c r="I184" s="25">
        <f t="shared" si="2"/>
        <v>12</v>
      </c>
      <c r="J184" s="35"/>
    </row>
    <row r="185">
      <c r="B185" s="33"/>
      <c r="C185" s="33"/>
      <c r="D185" s="14" t="s">
        <v>69</v>
      </c>
      <c r="E185" s="14">
        <v>11.0</v>
      </c>
      <c r="F185" s="17">
        <v>13000.0</v>
      </c>
      <c r="G185" s="25">
        <f t="shared" si="1"/>
        <v>143000</v>
      </c>
      <c r="H185" s="28"/>
      <c r="I185" s="25">
        <f t="shared" si="2"/>
        <v>11</v>
      </c>
      <c r="J185" s="35"/>
    </row>
    <row r="186">
      <c r="B186" s="33"/>
      <c r="C186" s="33"/>
      <c r="D186" s="14" t="s">
        <v>76</v>
      </c>
      <c r="E186" s="14">
        <v>6.0</v>
      </c>
      <c r="F186" s="17">
        <v>10000.0</v>
      </c>
      <c r="G186" s="25">
        <f t="shared" si="1"/>
        <v>60000</v>
      </c>
      <c r="H186" s="28"/>
      <c r="I186" s="25">
        <f t="shared" si="2"/>
        <v>6</v>
      </c>
      <c r="J186" s="35"/>
    </row>
    <row r="187">
      <c r="B187" s="33"/>
      <c r="C187" s="33"/>
      <c r="D187" s="14" t="s">
        <v>77</v>
      </c>
      <c r="E187" s="14">
        <v>5.0</v>
      </c>
      <c r="F187" s="17">
        <v>15000.0</v>
      </c>
      <c r="G187" s="25">
        <f t="shared" si="1"/>
        <v>75000</v>
      </c>
      <c r="H187" s="28"/>
      <c r="I187" s="25">
        <f t="shared" si="2"/>
        <v>5</v>
      </c>
      <c r="J187" s="35"/>
    </row>
    <row r="188">
      <c r="B188" s="33"/>
      <c r="C188" s="33"/>
      <c r="D188" s="14" t="s">
        <v>28</v>
      </c>
      <c r="E188" s="14">
        <v>4.0</v>
      </c>
      <c r="F188" s="17">
        <v>15000.0</v>
      </c>
      <c r="G188" s="25">
        <f t="shared" si="1"/>
        <v>60000</v>
      </c>
      <c r="H188" s="28"/>
      <c r="I188" s="25">
        <f t="shared" si="2"/>
        <v>4</v>
      </c>
      <c r="J188" s="35"/>
    </row>
    <row r="189">
      <c r="B189" s="33"/>
      <c r="C189" s="33"/>
      <c r="D189" s="14" t="s">
        <v>62</v>
      </c>
      <c r="E189" s="14">
        <v>4.0</v>
      </c>
      <c r="F189" s="17">
        <v>15000.0</v>
      </c>
      <c r="G189" s="25">
        <f t="shared" si="1"/>
        <v>60000</v>
      </c>
      <c r="H189" s="28"/>
      <c r="I189" s="25">
        <f t="shared" si="2"/>
        <v>4</v>
      </c>
      <c r="J189" s="35"/>
    </row>
    <row r="190">
      <c r="B190" s="33"/>
      <c r="C190" s="33"/>
      <c r="D190" s="14" t="s">
        <v>89</v>
      </c>
      <c r="E190" s="14">
        <v>1.0</v>
      </c>
      <c r="F190" s="17">
        <v>15000.0</v>
      </c>
      <c r="G190" s="25">
        <f t="shared" si="1"/>
        <v>15000</v>
      </c>
      <c r="H190" s="28"/>
      <c r="I190" s="25">
        <f t="shared" si="2"/>
        <v>1</v>
      </c>
      <c r="J190" s="35"/>
    </row>
    <row r="191">
      <c r="B191" s="33"/>
      <c r="C191" s="33"/>
      <c r="D191" s="14" t="s">
        <v>53</v>
      </c>
      <c r="E191" s="14">
        <v>1.0</v>
      </c>
      <c r="F191" s="17">
        <v>15000.0</v>
      </c>
      <c r="G191" s="25">
        <f t="shared" si="1"/>
        <v>15000</v>
      </c>
      <c r="H191" s="28"/>
      <c r="I191" s="25">
        <f t="shared" si="2"/>
        <v>1</v>
      </c>
      <c r="J191" s="13"/>
    </row>
    <row r="192">
      <c r="B192" s="9" t="s">
        <v>130</v>
      </c>
      <c r="C192" s="69">
        <v>45728.0</v>
      </c>
      <c r="D192" s="14" t="s">
        <v>60</v>
      </c>
      <c r="E192" s="14">
        <v>25.0</v>
      </c>
      <c r="F192" s="17">
        <v>15000.0</v>
      </c>
      <c r="G192" s="25">
        <f t="shared" si="1"/>
        <v>375000</v>
      </c>
      <c r="H192" s="28"/>
      <c r="I192" s="25">
        <f t="shared" si="2"/>
        <v>25</v>
      </c>
      <c r="J192" s="29">
        <f>SUM(I192:I208)</f>
        <v>135</v>
      </c>
    </row>
    <row r="193">
      <c r="B193" s="33"/>
      <c r="C193" s="33"/>
      <c r="D193" s="14" t="s">
        <v>17</v>
      </c>
      <c r="E193" s="14">
        <v>23.0</v>
      </c>
      <c r="F193" s="17">
        <v>18000.0</v>
      </c>
      <c r="G193" s="25">
        <f t="shared" si="1"/>
        <v>414000</v>
      </c>
      <c r="H193" s="28"/>
      <c r="I193" s="25">
        <f t="shared" si="2"/>
        <v>23</v>
      </c>
      <c r="J193" s="35"/>
    </row>
    <row r="194">
      <c r="B194" s="33"/>
      <c r="C194" s="33"/>
      <c r="D194" s="14" t="s">
        <v>56</v>
      </c>
      <c r="E194" s="14">
        <v>20.0</v>
      </c>
      <c r="F194" s="17">
        <v>15000.0</v>
      </c>
      <c r="G194" s="25">
        <f t="shared" si="1"/>
        <v>300000</v>
      </c>
      <c r="H194" s="28"/>
      <c r="I194" s="25">
        <f t="shared" si="2"/>
        <v>20</v>
      </c>
      <c r="J194" s="35"/>
    </row>
    <row r="195">
      <c r="B195" s="33"/>
      <c r="C195" s="33"/>
      <c r="D195" s="14" t="s">
        <v>101</v>
      </c>
      <c r="E195" s="14">
        <v>12.0</v>
      </c>
      <c r="F195" s="17">
        <v>13000.0</v>
      </c>
      <c r="G195" s="25">
        <f t="shared" si="1"/>
        <v>156000</v>
      </c>
      <c r="H195" s="28"/>
      <c r="I195" s="25">
        <f t="shared" si="2"/>
        <v>12</v>
      </c>
      <c r="J195" s="35"/>
    </row>
    <row r="196">
      <c r="B196" s="33"/>
      <c r="C196" s="33"/>
      <c r="D196" s="14" t="s">
        <v>107</v>
      </c>
      <c r="E196" s="14">
        <v>6.0</v>
      </c>
      <c r="F196" s="17">
        <v>18000.0</v>
      </c>
      <c r="G196" s="25">
        <f t="shared" si="1"/>
        <v>108000</v>
      </c>
      <c r="H196" s="28"/>
      <c r="I196" s="25">
        <f t="shared" si="2"/>
        <v>6</v>
      </c>
      <c r="J196" s="35"/>
    </row>
    <row r="197">
      <c r="B197" s="33"/>
      <c r="C197" s="33"/>
      <c r="D197" s="14" t="s">
        <v>76</v>
      </c>
      <c r="E197" s="14">
        <v>6.0</v>
      </c>
      <c r="F197" s="17">
        <v>10000.0</v>
      </c>
      <c r="G197" s="25">
        <f t="shared" si="1"/>
        <v>60000</v>
      </c>
      <c r="H197" s="28"/>
      <c r="I197" s="25">
        <f t="shared" si="2"/>
        <v>6</v>
      </c>
      <c r="J197" s="35"/>
    </row>
    <row r="198">
      <c r="B198" s="33"/>
      <c r="C198" s="33"/>
      <c r="D198" s="14" t="s">
        <v>131</v>
      </c>
      <c r="E198" s="14">
        <v>5.0</v>
      </c>
      <c r="F198" s="17">
        <v>15000.0</v>
      </c>
      <c r="G198" s="25">
        <f t="shared" si="1"/>
        <v>75000</v>
      </c>
      <c r="H198" s="28"/>
      <c r="I198" s="25">
        <f t="shared" si="2"/>
        <v>5</v>
      </c>
      <c r="J198" s="35"/>
    </row>
    <row r="199">
      <c r="B199" s="33"/>
      <c r="C199" s="33"/>
      <c r="D199" s="14" t="s">
        <v>132</v>
      </c>
      <c r="E199" s="14">
        <v>5.0</v>
      </c>
      <c r="F199" s="17">
        <v>18000.0</v>
      </c>
      <c r="G199" s="25">
        <f t="shared" si="1"/>
        <v>90000</v>
      </c>
      <c r="H199" s="28"/>
      <c r="I199" s="25">
        <f t="shared" si="2"/>
        <v>5</v>
      </c>
      <c r="J199" s="35"/>
    </row>
    <row r="200">
      <c r="B200" s="33"/>
      <c r="C200" s="33"/>
      <c r="D200" s="14" t="s">
        <v>62</v>
      </c>
      <c r="E200" s="14">
        <v>5.0</v>
      </c>
      <c r="F200" s="17">
        <v>15000.0</v>
      </c>
      <c r="G200" s="25">
        <f t="shared" si="1"/>
        <v>75000</v>
      </c>
      <c r="H200" s="28"/>
      <c r="I200" s="25">
        <f t="shared" si="2"/>
        <v>5</v>
      </c>
      <c r="J200" s="35"/>
    </row>
    <row r="201">
      <c r="B201" s="33"/>
      <c r="C201" s="33"/>
      <c r="D201" s="14" t="s">
        <v>69</v>
      </c>
      <c r="E201" s="14">
        <v>5.0</v>
      </c>
      <c r="F201" s="17">
        <v>13000.0</v>
      </c>
      <c r="G201" s="25">
        <f t="shared" si="1"/>
        <v>65000</v>
      </c>
      <c r="H201" s="28"/>
      <c r="I201" s="25">
        <f t="shared" si="2"/>
        <v>5</v>
      </c>
      <c r="J201" s="35"/>
    </row>
    <row r="202">
      <c r="B202" s="33"/>
      <c r="C202" s="33"/>
      <c r="D202" s="14" t="s">
        <v>133</v>
      </c>
      <c r="E202" s="14">
        <v>4.0</v>
      </c>
      <c r="F202" s="17">
        <v>15000.0</v>
      </c>
      <c r="G202" s="25">
        <f t="shared" si="1"/>
        <v>60000</v>
      </c>
      <c r="H202" s="28"/>
      <c r="I202" s="25">
        <f t="shared" si="2"/>
        <v>4</v>
      </c>
      <c r="J202" s="35"/>
    </row>
    <row r="203">
      <c r="B203" s="33"/>
      <c r="C203" s="33"/>
      <c r="D203" s="14" t="s">
        <v>77</v>
      </c>
      <c r="E203" s="14">
        <v>4.0</v>
      </c>
      <c r="F203" s="17">
        <v>15000.0</v>
      </c>
      <c r="G203" s="25">
        <f t="shared" si="1"/>
        <v>60000</v>
      </c>
      <c r="H203" s="28"/>
      <c r="I203" s="25">
        <f t="shared" si="2"/>
        <v>4</v>
      </c>
      <c r="J203" s="35"/>
    </row>
    <row r="204">
      <c r="B204" s="33"/>
      <c r="C204" s="33"/>
      <c r="D204" s="14" t="s">
        <v>65</v>
      </c>
      <c r="E204" s="14">
        <v>4.0</v>
      </c>
      <c r="F204" s="17">
        <v>13000.0</v>
      </c>
      <c r="G204" s="25">
        <f t="shared" si="1"/>
        <v>52000</v>
      </c>
      <c r="H204" s="28"/>
      <c r="I204" s="25">
        <f t="shared" si="2"/>
        <v>4</v>
      </c>
      <c r="J204" s="35"/>
    </row>
    <row r="205">
      <c r="B205" s="33"/>
      <c r="C205" s="33"/>
      <c r="D205" s="14" t="s">
        <v>109</v>
      </c>
      <c r="E205" s="14">
        <v>4.0</v>
      </c>
      <c r="F205" s="17">
        <v>18000.0</v>
      </c>
      <c r="G205" s="25">
        <f t="shared" si="1"/>
        <v>72000</v>
      </c>
      <c r="H205" s="28"/>
      <c r="I205" s="25">
        <f t="shared" si="2"/>
        <v>4</v>
      </c>
      <c r="J205" s="35"/>
    </row>
    <row r="206">
      <c r="B206" s="33"/>
      <c r="C206" s="33"/>
      <c r="D206" s="14" t="s">
        <v>72</v>
      </c>
      <c r="E206" s="14">
        <v>4.0</v>
      </c>
      <c r="F206" s="17">
        <v>13000.0</v>
      </c>
      <c r="G206" s="25">
        <f t="shared" si="1"/>
        <v>52000</v>
      </c>
      <c r="H206" s="28"/>
      <c r="I206" s="25">
        <f t="shared" si="2"/>
        <v>4</v>
      </c>
      <c r="J206" s="35"/>
    </row>
    <row r="207">
      <c r="B207" s="33"/>
      <c r="C207" s="33"/>
      <c r="D207" s="14" t="s">
        <v>59</v>
      </c>
      <c r="E207" s="14">
        <v>2.0</v>
      </c>
      <c r="F207" s="17">
        <v>10000.0</v>
      </c>
      <c r="G207" s="25">
        <f t="shared" si="1"/>
        <v>20000</v>
      </c>
      <c r="H207" s="28"/>
      <c r="I207" s="25">
        <f t="shared" si="2"/>
        <v>2</v>
      </c>
      <c r="J207" s="35"/>
    </row>
    <row r="208">
      <c r="B208" s="33"/>
      <c r="C208" s="33"/>
      <c r="D208" s="14" t="s">
        <v>89</v>
      </c>
      <c r="E208" s="14">
        <v>1.0</v>
      </c>
      <c r="F208" s="17">
        <v>15000.0</v>
      </c>
      <c r="G208" s="25">
        <f t="shared" si="1"/>
        <v>15000</v>
      </c>
      <c r="H208" s="28"/>
      <c r="I208" s="25">
        <f t="shared" si="2"/>
        <v>1</v>
      </c>
      <c r="J208" s="13"/>
    </row>
    <row r="209">
      <c r="B209" s="9" t="s">
        <v>134</v>
      </c>
      <c r="C209" s="69">
        <v>45729.0</v>
      </c>
      <c r="D209" s="14" t="s">
        <v>60</v>
      </c>
      <c r="E209" s="14">
        <v>17.0</v>
      </c>
      <c r="F209" s="17">
        <v>15000.0</v>
      </c>
      <c r="G209" s="25">
        <f t="shared" si="1"/>
        <v>255000</v>
      </c>
      <c r="H209" s="28"/>
      <c r="I209" s="25">
        <f t="shared" si="2"/>
        <v>17</v>
      </c>
      <c r="J209" s="29">
        <f>SUM(I209:I226)</f>
        <v>128</v>
      </c>
    </row>
    <row r="210">
      <c r="B210" s="33"/>
      <c r="C210" s="33"/>
      <c r="D210" s="14" t="s">
        <v>56</v>
      </c>
      <c r="E210" s="14">
        <v>14.0</v>
      </c>
      <c r="F210" s="17">
        <v>15000.0</v>
      </c>
      <c r="G210" s="25">
        <f t="shared" si="1"/>
        <v>210000</v>
      </c>
      <c r="H210" s="28"/>
      <c r="I210" s="25">
        <f t="shared" si="2"/>
        <v>14</v>
      </c>
      <c r="J210" s="35"/>
    </row>
    <row r="211">
      <c r="B211" s="33"/>
      <c r="C211" s="33"/>
      <c r="D211" s="14" t="s">
        <v>60</v>
      </c>
      <c r="E211" s="14">
        <v>14.0</v>
      </c>
      <c r="F211" s="17">
        <v>15000.0</v>
      </c>
      <c r="G211" s="25">
        <f t="shared" si="1"/>
        <v>210000</v>
      </c>
      <c r="H211" s="28"/>
      <c r="I211" s="25">
        <f t="shared" si="2"/>
        <v>14</v>
      </c>
      <c r="J211" s="35"/>
    </row>
    <row r="212">
      <c r="B212" s="33"/>
      <c r="C212" s="33"/>
      <c r="D212" s="14" t="s">
        <v>69</v>
      </c>
      <c r="E212" s="14">
        <v>13.0</v>
      </c>
      <c r="F212" s="17">
        <v>13000.0</v>
      </c>
      <c r="G212" s="25">
        <f t="shared" si="1"/>
        <v>169000</v>
      </c>
      <c r="H212" s="28"/>
      <c r="I212" s="25">
        <f t="shared" si="2"/>
        <v>13</v>
      </c>
      <c r="J212" s="35"/>
    </row>
    <row r="213">
      <c r="B213" s="33"/>
      <c r="C213" s="33"/>
      <c r="D213" s="14" t="s">
        <v>65</v>
      </c>
      <c r="E213" s="14">
        <v>12.0</v>
      </c>
      <c r="F213" s="17">
        <v>13000.0</v>
      </c>
      <c r="G213" s="25">
        <f t="shared" si="1"/>
        <v>156000</v>
      </c>
      <c r="H213" s="28"/>
      <c r="I213" s="25">
        <f t="shared" si="2"/>
        <v>12</v>
      </c>
      <c r="J213" s="35"/>
    </row>
    <row r="214">
      <c r="B214" s="33"/>
      <c r="C214" s="33"/>
      <c r="D214" s="14" t="s">
        <v>62</v>
      </c>
      <c r="E214" s="14">
        <v>12.0</v>
      </c>
      <c r="F214" s="17">
        <v>15000.0</v>
      </c>
      <c r="G214" s="25">
        <f t="shared" si="1"/>
        <v>180000</v>
      </c>
      <c r="H214" s="28"/>
      <c r="I214" s="25">
        <f t="shared" si="2"/>
        <v>12</v>
      </c>
      <c r="J214" s="35"/>
    </row>
    <row r="215">
      <c r="B215" s="33"/>
      <c r="C215" s="33"/>
      <c r="D215" s="14" t="s">
        <v>76</v>
      </c>
      <c r="E215" s="14">
        <v>10.0</v>
      </c>
      <c r="F215" s="17">
        <v>10000.0</v>
      </c>
      <c r="G215" s="25">
        <f t="shared" si="1"/>
        <v>100000</v>
      </c>
      <c r="H215" s="28"/>
      <c r="I215" s="25">
        <f t="shared" si="2"/>
        <v>10</v>
      </c>
      <c r="J215" s="35"/>
    </row>
    <row r="216">
      <c r="B216" s="33"/>
      <c r="C216" s="33"/>
      <c r="D216" s="14" t="s">
        <v>77</v>
      </c>
      <c r="E216" s="14">
        <v>6.0</v>
      </c>
      <c r="F216" s="17">
        <v>15000.0</v>
      </c>
      <c r="G216" s="25">
        <f t="shared" si="1"/>
        <v>90000</v>
      </c>
      <c r="H216" s="28"/>
      <c r="I216" s="25">
        <f t="shared" si="2"/>
        <v>6</v>
      </c>
      <c r="J216" s="35"/>
    </row>
    <row r="217">
      <c r="B217" s="33"/>
      <c r="C217" s="33"/>
      <c r="D217" s="14" t="s">
        <v>28</v>
      </c>
      <c r="E217" s="14">
        <v>6.0</v>
      </c>
      <c r="F217" s="17">
        <v>15000.0</v>
      </c>
      <c r="G217" s="25">
        <f t="shared" si="1"/>
        <v>90000</v>
      </c>
      <c r="H217" s="28"/>
      <c r="I217" s="25">
        <f t="shared" si="2"/>
        <v>6</v>
      </c>
      <c r="J217" s="35"/>
    </row>
    <row r="218">
      <c r="B218" s="33"/>
      <c r="C218" s="33"/>
      <c r="D218" s="14" t="s">
        <v>72</v>
      </c>
      <c r="E218" s="14">
        <v>5.0</v>
      </c>
      <c r="F218" s="17">
        <v>13000.0</v>
      </c>
      <c r="G218" s="25">
        <f t="shared" si="1"/>
        <v>65000</v>
      </c>
      <c r="H218" s="28"/>
      <c r="I218" s="25">
        <f t="shared" si="2"/>
        <v>5</v>
      </c>
      <c r="J218" s="35"/>
    </row>
    <row r="219">
      <c r="B219" s="33"/>
      <c r="C219" s="33"/>
      <c r="D219" s="14" t="s">
        <v>116</v>
      </c>
      <c r="E219" s="14">
        <v>4.0</v>
      </c>
      <c r="F219" s="17">
        <v>23800.0</v>
      </c>
      <c r="G219" s="25">
        <f t="shared" si="1"/>
        <v>95200</v>
      </c>
      <c r="H219" s="28"/>
      <c r="I219" s="25">
        <f t="shared" si="2"/>
        <v>4</v>
      </c>
      <c r="J219" s="35"/>
    </row>
    <row r="220">
      <c r="B220" s="33"/>
      <c r="C220" s="33"/>
      <c r="D220" s="14" t="s">
        <v>101</v>
      </c>
      <c r="E220" s="14">
        <v>3.0</v>
      </c>
      <c r="F220" s="17">
        <v>13000.0</v>
      </c>
      <c r="G220" s="25">
        <f t="shared" si="1"/>
        <v>39000</v>
      </c>
      <c r="H220" s="28"/>
      <c r="I220" s="25">
        <f t="shared" si="2"/>
        <v>3</v>
      </c>
      <c r="J220" s="35"/>
    </row>
    <row r="221">
      <c r="B221" s="33"/>
      <c r="C221" s="33"/>
      <c r="D221" s="14" t="s">
        <v>107</v>
      </c>
      <c r="E221" s="14">
        <v>3.0</v>
      </c>
      <c r="F221" s="17">
        <v>18000.0</v>
      </c>
      <c r="G221" s="25">
        <f t="shared" si="1"/>
        <v>54000</v>
      </c>
      <c r="H221" s="28"/>
      <c r="I221" s="25">
        <f t="shared" si="2"/>
        <v>3</v>
      </c>
      <c r="J221" s="35"/>
    </row>
    <row r="222">
      <c r="B222" s="33"/>
      <c r="C222" s="33"/>
      <c r="D222" s="14" t="s">
        <v>59</v>
      </c>
      <c r="E222" s="14">
        <v>3.0</v>
      </c>
      <c r="F222" s="17">
        <v>10000.0</v>
      </c>
      <c r="G222" s="25">
        <f t="shared" si="1"/>
        <v>30000</v>
      </c>
      <c r="H222" s="28"/>
      <c r="I222" s="25">
        <f t="shared" si="2"/>
        <v>3</v>
      </c>
      <c r="J222" s="35"/>
    </row>
    <row r="223">
      <c r="B223" s="33"/>
      <c r="C223" s="33"/>
      <c r="D223" s="14" t="s">
        <v>71</v>
      </c>
      <c r="E223" s="14">
        <v>2.0</v>
      </c>
      <c r="F223" s="17">
        <v>18000.0</v>
      </c>
      <c r="G223" s="25">
        <f t="shared" si="1"/>
        <v>36000</v>
      </c>
      <c r="H223" s="28"/>
      <c r="I223" s="25">
        <f t="shared" si="2"/>
        <v>2</v>
      </c>
      <c r="J223" s="35"/>
    </row>
    <row r="224">
      <c r="B224" s="33"/>
      <c r="C224" s="33"/>
      <c r="D224" s="14" t="s">
        <v>53</v>
      </c>
      <c r="E224" s="14">
        <v>2.0</v>
      </c>
      <c r="F224" s="17">
        <v>15000.0</v>
      </c>
      <c r="G224" s="25">
        <f t="shared" si="1"/>
        <v>30000</v>
      </c>
      <c r="H224" s="28"/>
      <c r="I224" s="25">
        <f t="shared" si="2"/>
        <v>2</v>
      </c>
      <c r="J224" s="35"/>
    </row>
    <row r="225">
      <c r="B225" s="33"/>
      <c r="C225" s="33"/>
      <c r="D225" s="14" t="s">
        <v>120</v>
      </c>
      <c r="E225" s="14">
        <v>1.0</v>
      </c>
      <c r="F225" s="17">
        <v>47750.0</v>
      </c>
      <c r="G225" s="25">
        <f t="shared" si="1"/>
        <v>47750</v>
      </c>
      <c r="H225" s="28"/>
      <c r="I225" s="25">
        <f t="shared" si="2"/>
        <v>1</v>
      </c>
      <c r="J225" s="35"/>
    </row>
    <row r="226">
      <c r="B226" s="33"/>
      <c r="C226" s="33"/>
      <c r="D226" s="14" t="s">
        <v>109</v>
      </c>
      <c r="E226" s="14">
        <v>1.0</v>
      </c>
      <c r="F226" s="17">
        <v>18000.0</v>
      </c>
      <c r="G226" s="25">
        <f t="shared" si="1"/>
        <v>18000</v>
      </c>
      <c r="H226" s="28"/>
      <c r="I226" s="25">
        <f t="shared" si="2"/>
        <v>1</v>
      </c>
      <c r="J226" s="13"/>
    </row>
    <row r="227">
      <c r="B227" s="9" t="s">
        <v>135</v>
      </c>
      <c r="C227" s="69">
        <v>45730.0</v>
      </c>
      <c r="D227" s="14" t="s">
        <v>17</v>
      </c>
      <c r="E227" s="14">
        <v>23.0</v>
      </c>
      <c r="F227" s="17">
        <v>18000.0</v>
      </c>
      <c r="G227" s="25">
        <f t="shared" si="1"/>
        <v>414000</v>
      </c>
      <c r="H227" s="28"/>
      <c r="I227" s="25">
        <f t="shared" si="2"/>
        <v>23</v>
      </c>
      <c r="J227" s="29">
        <f>SUM(I227:I241)</f>
        <v>100</v>
      </c>
    </row>
    <row r="228">
      <c r="B228" s="33"/>
      <c r="C228" s="33"/>
      <c r="D228" s="14" t="s">
        <v>60</v>
      </c>
      <c r="E228" s="14">
        <v>16.0</v>
      </c>
      <c r="F228" s="17">
        <v>15000.0</v>
      </c>
      <c r="G228" s="25">
        <f t="shared" si="1"/>
        <v>240000</v>
      </c>
      <c r="H228" s="28"/>
      <c r="I228" s="25">
        <f t="shared" si="2"/>
        <v>16</v>
      </c>
      <c r="J228" s="35"/>
    </row>
    <row r="229">
      <c r="B229" s="33"/>
      <c r="C229" s="33"/>
      <c r="D229" s="14" t="s">
        <v>69</v>
      </c>
      <c r="E229" s="14">
        <v>10.0</v>
      </c>
      <c r="F229" s="17">
        <v>13000.0</v>
      </c>
      <c r="G229" s="25">
        <f t="shared" si="1"/>
        <v>130000</v>
      </c>
      <c r="H229" s="28"/>
      <c r="I229" s="25">
        <f t="shared" si="2"/>
        <v>10</v>
      </c>
      <c r="J229" s="35"/>
    </row>
    <row r="230">
      <c r="B230" s="33"/>
      <c r="C230" s="33"/>
      <c r="D230" s="14" t="s">
        <v>62</v>
      </c>
      <c r="E230" s="14">
        <v>9.0</v>
      </c>
      <c r="F230" s="17">
        <v>15000.0</v>
      </c>
      <c r="G230" s="25">
        <f t="shared" si="1"/>
        <v>135000</v>
      </c>
      <c r="H230" s="28"/>
      <c r="I230" s="25">
        <f t="shared" si="2"/>
        <v>9</v>
      </c>
      <c r="J230" s="35"/>
    </row>
    <row r="231">
      <c r="B231" s="33"/>
      <c r="C231" s="33"/>
      <c r="D231" s="14" t="s">
        <v>76</v>
      </c>
      <c r="E231" s="14">
        <v>8.0</v>
      </c>
      <c r="F231" s="17">
        <v>10000.0</v>
      </c>
      <c r="G231" s="25">
        <f t="shared" si="1"/>
        <v>80000</v>
      </c>
      <c r="H231" s="28"/>
      <c r="I231" s="25">
        <f t="shared" si="2"/>
        <v>8</v>
      </c>
      <c r="J231" s="35"/>
    </row>
    <row r="232">
      <c r="B232" s="33"/>
      <c r="C232" s="33"/>
      <c r="D232" s="14" t="s">
        <v>56</v>
      </c>
      <c r="E232" s="14">
        <v>7.0</v>
      </c>
      <c r="F232" s="17">
        <v>15000.0</v>
      </c>
      <c r="G232" s="25">
        <f t="shared" si="1"/>
        <v>105000</v>
      </c>
      <c r="H232" s="28"/>
      <c r="I232" s="25">
        <f t="shared" si="2"/>
        <v>7</v>
      </c>
      <c r="J232" s="35"/>
    </row>
    <row r="233">
      <c r="B233" s="33"/>
      <c r="C233" s="33"/>
      <c r="D233" s="14" t="s">
        <v>101</v>
      </c>
      <c r="E233" s="14">
        <v>6.0</v>
      </c>
      <c r="F233" s="17">
        <v>13000.0</v>
      </c>
      <c r="G233" s="25">
        <f t="shared" si="1"/>
        <v>78000</v>
      </c>
      <c r="H233" s="28"/>
      <c r="I233" s="25">
        <f t="shared" si="2"/>
        <v>6</v>
      </c>
      <c r="J233" s="35"/>
    </row>
    <row r="234">
      <c r="B234" s="33"/>
      <c r="C234" s="33"/>
      <c r="D234" s="14" t="s">
        <v>72</v>
      </c>
      <c r="E234" s="14">
        <v>4.0</v>
      </c>
      <c r="F234" s="17">
        <v>13000.0</v>
      </c>
      <c r="G234" s="25">
        <f t="shared" si="1"/>
        <v>52000</v>
      </c>
      <c r="H234" s="28"/>
      <c r="I234" s="25">
        <f t="shared" si="2"/>
        <v>4</v>
      </c>
      <c r="J234" s="35"/>
    </row>
    <row r="235">
      <c r="B235" s="33"/>
      <c r="C235" s="33"/>
      <c r="D235" s="14" t="s">
        <v>77</v>
      </c>
      <c r="E235" s="14">
        <v>4.0</v>
      </c>
      <c r="F235" s="17">
        <v>15000.0</v>
      </c>
      <c r="G235" s="25">
        <f t="shared" si="1"/>
        <v>60000</v>
      </c>
      <c r="H235" s="28"/>
      <c r="I235" s="25">
        <f t="shared" si="2"/>
        <v>4</v>
      </c>
      <c r="J235" s="35"/>
    </row>
    <row r="236">
      <c r="B236" s="33"/>
      <c r="C236" s="33"/>
      <c r="D236" s="14" t="s">
        <v>109</v>
      </c>
      <c r="E236" s="14">
        <v>3.0</v>
      </c>
      <c r="F236" s="17">
        <v>18000.0</v>
      </c>
      <c r="G236" s="25">
        <f t="shared" si="1"/>
        <v>54000</v>
      </c>
      <c r="H236" s="28"/>
      <c r="I236" s="25">
        <f t="shared" si="2"/>
        <v>3</v>
      </c>
      <c r="J236" s="35"/>
    </row>
    <row r="237">
      <c r="B237" s="33"/>
      <c r="C237" s="33"/>
      <c r="D237" s="14" t="s">
        <v>59</v>
      </c>
      <c r="E237" s="14">
        <v>3.0</v>
      </c>
      <c r="F237" s="17">
        <v>10000.0</v>
      </c>
      <c r="G237" s="25">
        <f t="shared" si="1"/>
        <v>30000</v>
      </c>
      <c r="H237" s="28"/>
      <c r="I237" s="25">
        <f t="shared" si="2"/>
        <v>3</v>
      </c>
      <c r="J237" s="35"/>
    </row>
    <row r="238">
      <c r="B238" s="33"/>
      <c r="C238" s="33"/>
      <c r="D238" s="14" t="s">
        <v>53</v>
      </c>
      <c r="E238" s="14">
        <v>2.0</v>
      </c>
      <c r="F238" s="17">
        <v>15000.0</v>
      </c>
      <c r="G238" s="25">
        <f t="shared" si="1"/>
        <v>30000</v>
      </c>
      <c r="H238" s="28"/>
      <c r="I238" s="25">
        <f t="shared" si="2"/>
        <v>2</v>
      </c>
      <c r="J238" s="35"/>
    </row>
    <row r="239">
      <c r="B239" s="33"/>
      <c r="C239" s="33"/>
      <c r="D239" s="14" t="s">
        <v>65</v>
      </c>
      <c r="E239" s="14">
        <v>2.0</v>
      </c>
      <c r="F239" s="17">
        <v>13000.0</v>
      </c>
      <c r="G239" s="25">
        <f t="shared" si="1"/>
        <v>26000</v>
      </c>
      <c r="H239" s="28"/>
      <c r="I239" s="25">
        <f t="shared" si="2"/>
        <v>2</v>
      </c>
      <c r="J239" s="35"/>
    </row>
    <row r="240">
      <c r="B240" s="33"/>
      <c r="C240" s="33"/>
      <c r="D240" s="14" t="s">
        <v>71</v>
      </c>
      <c r="E240" s="14">
        <v>2.0</v>
      </c>
      <c r="F240" s="17">
        <v>18000.0</v>
      </c>
      <c r="G240" s="25">
        <f t="shared" si="1"/>
        <v>36000</v>
      </c>
      <c r="H240" s="28"/>
      <c r="I240" s="25">
        <f t="shared" si="2"/>
        <v>2</v>
      </c>
      <c r="J240" s="35"/>
    </row>
    <row r="241">
      <c r="B241" s="33"/>
      <c r="C241" s="33"/>
      <c r="D241" s="14" t="s">
        <v>107</v>
      </c>
      <c r="E241" s="14">
        <v>1.0</v>
      </c>
      <c r="F241" s="17">
        <v>18000.0</v>
      </c>
      <c r="G241" s="25">
        <f t="shared" si="1"/>
        <v>18000</v>
      </c>
      <c r="H241" s="28"/>
      <c r="I241" s="25">
        <f t="shared" si="2"/>
        <v>1</v>
      </c>
      <c r="J241" s="13"/>
    </row>
    <row r="242">
      <c r="B242" s="9" t="s">
        <v>136</v>
      </c>
      <c r="C242" s="69">
        <v>45731.0</v>
      </c>
      <c r="D242" s="14" t="s">
        <v>17</v>
      </c>
      <c r="E242" s="14">
        <v>23.0</v>
      </c>
      <c r="F242" s="17">
        <v>18000.0</v>
      </c>
      <c r="G242" s="25">
        <f t="shared" si="1"/>
        <v>414000</v>
      </c>
      <c r="H242" s="28"/>
      <c r="I242" s="25">
        <f t="shared" si="2"/>
        <v>23</v>
      </c>
      <c r="J242" s="29">
        <f>SUM(I242:I256)</f>
        <v>104</v>
      </c>
    </row>
    <row r="243">
      <c r="B243" s="33"/>
      <c r="C243" s="33"/>
      <c r="D243" s="14" t="s">
        <v>60</v>
      </c>
      <c r="E243" s="14">
        <v>16.0</v>
      </c>
      <c r="F243" s="17">
        <v>15000.0</v>
      </c>
      <c r="G243" s="25">
        <f t="shared" si="1"/>
        <v>240000</v>
      </c>
      <c r="H243" s="28"/>
      <c r="I243" s="25">
        <f t="shared" si="2"/>
        <v>16</v>
      </c>
      <c r="J243" s="35"/>
    </row>
    <row r="244">
      <c r="B244" s="33"/>
      <c r="C244" s="33"/>
      <c r="D244" s="14" t="s">
        <v>62</v>
      </c>
      <c r="E244" s="14">
        <v>11.0</v>
      </c>
      <c r="F244" s="17">
        <v>15000.0</v>
      </c>
      <c r="G244" s="25">
        <f t="shared" si="1"/>
        <v>165000</v>
      </c>
      <c r="H244" s="28"/>
      <c r="I244" s="25">
        <f t="shared" si="2"/>
        <v>11</v>
      </c>
      <c r="J244" s="35"/>
    </row>
    <row r="245">
      <c r="B245" s="33"/>
      <c r="C245" s="33"/>
      <c r="D245" s="14" t="s">
        <v>116</v>
      </c>
      <c r="E245" s="14">
        <v>10.0</v>
      </c>
      <c r="F245" s="17">
        <v>23800.0</v>
      </c>
      <c r="G245" s="25">
        <f t="shared" si="1"/>
        <v>238000</v>
      </c>
      <c r="H245" s="28"/>
      <c r="I245" s="25">
        <f t="shared" si="2"/>
        <v>10</v>
      </c>
      <c r="J245" s="35"/>
    </row>
    <row r="246">
      <c r="B246" s="33"/>
      <c r="C246" s="33"/>
      <c r="D246" s="14" t="s">
        <v>56</v>
      </c>
      <c r="E246" s="14">
        <v>7.0</v>
      </c>
      <c r="F246" s="17">
        <v>15000.0</v>
      </c>
      <c r="G246" s="25">
        <f t="shared" si="1"/>
        <v>105000</v>
      </c>
      <c r="H246" s="28"/>
      <c r="I246" s="25">
        <f t="shared" si="2"/>
        <v>7</v>
      </c>
      <c r="J246" s="35"/>
    </row>
    <row r="247">
      <c r="B247" s="33"/>
      <c r="C247" s="33"/>
      <c r="D247" s="14" t="s">
        <v>65</v>
      </c>
      <c r="E247" s="14">
        <v>7.0</v>
      </c>
      <c r="F247" s="17">
        <v>13000.0</v>
      </c>
      <c r="G247" s="25">
        <f t="shared" si="1"/>
        <v>91000</v>
      </c>
      <c r="H247" s="28"/>
      <c r="I247" s="25">
        <f t="shared" si="2"/>
        <v>7</v>
      </c>
      <c r="J247" s="35"/>
    </row>
    <row r="248">
      <c r="B248" s="33"/>
      <c r="C248" s="33"/>
      <c r="D248" s="14" t="s">
        <v>69</v>
      </c>
      <c r="E248" s="14">
        <v>5.0</v>
      </c>
      <c r="F248" s="17">
        <v>13000.0</v>
      </c>
      <c r="G248" s="25">
        <f t="shared" si="1"/>
        <v>65000</v>
      </c>
      <c r="H248" s="28"/>
      <c r="I248" s="25">
        <f t="shared" si="2"/>
        <v>5</v>
      </c>
      <c r="J248" s="35"/>
    </row>
    <row r="249">
      <c r="B249" s="33"/>
      <c r="C249" s="33"/>
      <c r="D249" s="14" t="s">
        <v>76</v>
      </c>
      <c r="E249" s="14">
        <v>5.0</v>
      </c>
      <c r="F249" s="17">
        <v>10000.0</v>
      </c>
      <c r="G249" s="25">
        <f t="shared" si="1"/>
        <v>50000</v>
      </c>
      <c r="H249" s="28"/>
      <c r="I249" s="25">
        <f t="shared" si="2"/>
        <v>5</v>
      </c>
      <c r="J249" s="35"/>
    </row>
    <row r="250">
      <c r="B250" s="33"/>
      <c r="C250" s="33"/>
      <c r="D250" s="14" t="s">
        <v>109</v>
      </c>
      <c r="E250" s="14">
        <v>4.0</v>
      </c>
      <c r="F250" s="17">
        <v>18000.0</v>
      </c>
      <c r="G250" s="25">
        <f t="shared" si="1"/>
        <v>72000</v>
      </c>
      <c r="H250" s="28"/>
      <c r="I250" s="25">
        <f t="shared" si="2"/>
        <v>4</v>
      </c>
      <c r="J250" s="35"/>
    </row>
    <row r="251">
      <c r="B251" s="33"/>
      <c r="C251" s="33"/>
      <c r="D251" s="14" t="s">
        <v>101</v>
      </c>
      <c r="E251" s="14">
        <v>4.0</v>
      </c>
      <c r="F251" s="17">
        <v>13000.0</v>
      </c>
      <c r="G251" s="25">
        <f t="shared" si="1"/>
        <v>52000</v>
      </c>
      <c r="H251" s="28"/>
      <c r="I251" s="25">
        <f t="shared" si="2"/>
        <v>4</v>
      </c>
      <c r="J251" s="35"/>
    </row>
    <row r="252">
      <c r="B252" s="33"/>
      <c r="C252" s="33"/>
      <c r="D252" s="14" t="s">
        <v>28</v>
      </c>
      <c r="E252" s="14">
        <v>3.0</v>
      </c>
      <c r="F252" s="17">
        <v>15000.0</v>
      </c>
      <c r="G252" s="25">
        <f t="shared" si="1"/>
        <v>45000</v>
      </c>
      <c r="H252" s="28"/>
      <c r="I252" s="25">
        <f t="shared" si="2"/>
        <v>3</v>
      </c>
      <c r="J252" s="35"/>
    </row>
    <row r="253">
      <c r="B253" s="33"/>
      <c r="C253" s="33"/>
      <c r="D253" s="14" t="s">
        <v>72</v>
      </c>
      <c r="E253" s="14">
        <v>3.0</v>
      </c>
      <c r="F253" s="17">
        <v>13000.0</v>
      </c>
      <c r="G253" s="25">
        <f t="shared" si="1"/>
        <v>39000</v>
      </c>
      <c r="H253" s="28"/>
      <c r="I253" s="25">
        <f t="shared" si="2"/>
        <v>3</v>
      </c>
      <c r="J253" s="35"/>
    </row>
    <row r="254">
      <c r="B254" s="33"/>
      <c r="C254" s="33"/>
      <c r="D254" s="14" t="s">
        <v>77</v>
      </c>
      <c r="E254" s="14">
        <v>2.0</v>
      </c>
      <c r="F254" s="17">
        <v>15000.0</v>
      </c>
      <c r="G254" s="25">
        <f t="shared" si="1"/>
        <v>30000</v>
      </c>
      <c r="H254" s="28"/>
      <c r="I254" s="25">
        <f t="shared" si="2"/>
        <v>2</v>
      </c>
      <c r="J254" s="35"/>
    </row>
    <row r="255">
      <c r="B255" s="33"/>
      <c r="C255" s="33"/>
      <c r="D255" s="14" t="s">
        <v>71</v>
      </c>
      <c r="E255" s="14">
        <v>2.0</v>
      </c>
      <c r="F255" s="17">
        <v>18000.0</v>
      </c>
      <c r="G255" s="25">
        <f t="shared" si="1"/>
        <v>36000</v>
      </c>
      <c r="H255" s="28"/>
      <c r="I255" s="25">
        <f t="shared" si="2"/>
        <v>2</v>
      </c>
      <c r="J255" s="35"/>
    </row>
    <row r="256">
      <c r="B256" s="33"/>
      <c r="C256" s="33"/>
      <c r="D256" s="14" t="s">
        <v>53</v>
      </c>
      <c r="E256" s="14">
        <v>2.0</v>
      </c>
      <c r="F256" s="17">
        <v>15000.0</v>
      </c>
      <c r="G256" s="25">
        <f t="shared" si="1"/>
        <v>30000</v>
      </c>
      <c r="H256" s="28"/>
      <c r="I256" s="25">
        <f t="shared" si="2"/>
        <v>2</v>
      </c>
      <c r="J256" s="13"/>
    </row>
    <row r="257">
      <c r="B257" s="9" t="s">
        <v>143</v>
      </c>
      <c r="C257" s="69">
        <v>45732.0</v>
      </c>
      <c r="D257" s="14" t="s">
        <v>56</v>
      </c>
      <c r="E257" s="14">
        <v>20.0</v>
      </c>
      <c r="F257" s="17">
        <v>15000.0</v>
      </c>
      <c r="G257" s="25">
        <f t="shared" si="1"/>
        <v>300000</v>
      </c>
      <c r="H257" s="28"/>
      <c r="I257" s="25">
        <f t="shared" si="2"/>
        <v>20</v>
      </c>
      <c r="J257" s="29">
        <f>sum(I257:I271)</f>
        <v>114</v>
      </c>
    </row>
    <row r="258">
      <c r="B258" s="64"/>
      <c r="C258" s="64"/>
      <c r="D258" s="14" t="s">
        <v>17</v>
      </c>
      <c r="E258" s="14">
        <v>20.0</v>
      </c>
      <c r="F258" s="17">
        <v>18000.0</v>
      </c>
      <c r="G258" s="25">
        <f t="shared" si="1"/>
        <v>360000</v>
      </c>
      <c r="H258" s="28"/>
      <c r="I258" s="25">
        <f t="shared" si="2"/>
        <v>20</v>
      </c>
      <c r="J258" s="35"/>
    </row>
    <row r="259">
      <c r="B259" s="64"/>
      <c r="C259" s="64"/>
      <c r="D259" s="14" t="s">
        <v>60</v>
      </c>
      <c r="E259" s="14">
        <v>14.0</v>
      </c>
      <c r="F259" s="17">
        <v>15000.0</v>
      </c>
      <c r="G259" s="25">
        <f t="shared" si="1"/>
        <v>210000</v>
      </c>
      <c r="H259" s="28"/>
      <c r="I259" s="25">
        <f t="shared" si="2"/>
        <v>14</v>
      </c>
      <c r="J259" s="35"/>
    </row>
    <row r="260">
      <c r="B260" s="64"/>
      <c r="C260" s="64"/>
      <c r="D260" s="14" t="s">
        <v>101</v>
      </c>
      <c r="E260" s="14">
        <v>12.0</v>
      </c>
      <c r="F260" s="17">
        <v>13000.0</v>
      </c>
      <c r="G260" s="25">
        <f t="shared" si="1"/>
        <v>156000</v>
      </c>
      <c r="H260" s="28"/>
      <c r="I260" s="25">
        <f t="shared" si="2"/>
        <v>12</v>
      </c>
      <c r="J260" s="35"/>
    </row>
    <row r="261">
      <c r="B261" s="64"/>
      <c r="C261" s="64"/>
      <c r="D261" s="14" t="s">
        <v>62</v>
      </c>
      <c r="E261" s="14">
        <v>7.0</v>
      </c>
      <c r="F261" s="17">
        <v>15000.0</v>
      </c>
      <c r="G261" s="25">
        <f t="shared" si="1"/>
        <v>105000</v>
      </c>
      <c r="H261" s="28"/>
      <c r="I261" s="25">
        <f t="shared" si="2"/>
        <v>7</v>
      </c>
      <c r="J261" s="35"/>
    </row>
    <row r="262">
      <c r="B262" s="64"/>
      <c r="C262" s="64"/>
      <c r="D262" s="14" t="s">
        <v>77</v>
      </c>
      <c r="E262" s="14">
        <v>7.0</v>
      </c>
      <c r="F262" s="17">
        <v>15000.0</v>
      </c>
      <c r="G262" s="25">
        <f t="shared" si="1"/>
        <v>105000</v>
      </c>
      <c r="H262" s="28"/>
      <c r="I262" s="25">
        <f t="shared" si="2"/>
        <v>7</v>
      </c>
      <c r="J262" s="35"/>
    </row>
    <row r="263">
      <c r="B263" s="64"/>
      <c r="C263" s="64"/>
      <c r="D263" s="14" t="s">
        <v>76</v>
      </c>
      <c r="E263" s="14">
        <v>6.0</v>
      </c>
      <c r="F263" s="17">
        <v>10000.0</v>
      </c>
      <c r="G263" s="25">
        <f t="shared" si="1"/>
        <v>60000</v>
      </c>
      <c r="H263" s="28"/>
      <c r="I263" s="25">
        <f t="shared" si="2"/>
        <v>6</v>
      </c>
      <c r="J263" s="35"/>
    </row>
    <row r="264">
      <c r="B264" s="64"/>
      <c r="C264" s="64"/>
      <c r="D264" s="14" t="s">
        <v>69</v>
      </c>
      <c r="E264" s="14">
        <v>6.0</v>
      </c>
      <c r="F264" s="17">
        <v>13000.0</v>
      </c>
      <c r="G264" s="25">
        <f t="shared" si="1"/>
        <v>78000</v>
      </c>
      <c r="H264" s="28"/>
      <c r="I264" s="25">
        <f t="shared" si="2"/>
        <v>6</v>
      </c>
      <c r="J264" s="35"/>
    </row>
    <row r="265">
      <c r="B265" s="64"/>
      <c r="C265" s="64"/>
      <c r="D265" s="14" t="s">
        <v>107</v>
      </c>
      <c r="E265" s="14">
        <v>5.0</v>
      </c>
      <c r="F265" s="17">
        <v>18000.0</v>
      </c>
      <c r="G265" s="25">
        <f t="shared" si="1"/>
        <v>90000</v>
      </c>
      <c r="H265" s="28"/>
      <c r="I265" s="25">
        <f t="shared" si="2"/>
        <v>5</v>
      </c>
      <c r="J265" s="35"/>
    </row>
    <row r="266">
      <c r="B266" s="64"/>
      <c r="C266" s="64"/>
      <c r="D266" s="14" t="s">
        <v>109</v>
      </c>
      <c r="E266" s="14">
        <v>4.0</v>
      </c>
      <c r="F266" s="17">
        <v>18000.0</v>
      </c>
      <c r="G266" s="25">
        <f t="shared" si="1"/>
        <v>72000</v>
      </c>
      <c r="H266" s="28"/>
      <c r="I266" s="25">
        <f t="shared" si="2"/>
        <v>4</v>
      </c>
      <c r="J266" s="35"/>
    </row>
    <row r="267">
      <c r="B267" s="64"/>
      <c r="C267" s="64"/>
      <c r="D267" s="14" t="s">
        <v>65</v>
      </c>
      <c r="E267" s="14">
        <v>4.0</v>
      </c>
      <c r="F267" s="17">
        <v>13000.0</v>
      </c>
      <c r="G267" s="25">
        <f t="shared" si="1"/>
        <v>52000</v>
      </c>
      <c r="H267" s="28"/>
      <c r="I267" s="25">
        <f t="shared" si="2"/>
        <v>4</v>
      </c>
      <c r="J267" s="35"/>
    </row>
    <row r="268">
      <c r="B268" s="64"/>
      <c r="C268" s="64"/>
      <c r="D268" s="14" t="s">
        <v>71</v>
      </c>
      <c r="E268" s="14">
        <v>4.0</v>
      </c>
      <c r="F268" s="17">
        <v>18000.0</v>
      </c>
      <c r="G268" s="25">
        <f t="shared" si="1"/>
        <v>72000</v>
      </c>
      <c r="H268" s="28"/>
      <c r="I268" s="25">
        <f t="shared" si="2"/>
        <v>4</v>
      </c>
      <c r="J268" s="35"/>
    </row>
    <row r="269">
      <c r="B269" s="64"/>
      <c r="C269" s="64"/>
      <c r="D269" s="14" t="s">
        <v>72</v>
      </c>
      <c r="E269" s="14">
        <v>3.0</v>
      </c>
      <c r="F269" s="17">
        <v>13000.0</v>
      </c>
      <c r="G269" s="25">
        <f t="shared" si="1"/>
        <v>39000</v>
      </c>
      <c r="H269" s="28"/>
      <c r="I269" s="25">
        <f t="shared" si="2"/>
        <v>3</v>
      </c>
      <c r="J269" s="35"/>
    </row>
    <row r="270">
      <c r="B270" s="64"/>
      <c r="C270" s="64"/>
      <c r="D270" s="14" t="s">
        <v>79</v>
      </c>
      <c r="E270" s="14">
        <v>1.0</v>
      </c>
      <c r="F270" s="25"/>
      <c r="G270" s="25"/>
      <c r="H270" s="28"/>
      <c r="I270" s="25">
        <f t="shared" si="2"/>
        <v>1</v>
      </c>
      <c r="J270" s="35"/>
    </row>
    <row r="271">
      <c r="B271" s="64"/>
      <c r="C271" s="64"/>
      <c r="D271" s="14" t="s">
        <v>53</v>
      </c>
      <c r="E271" s="14">
        <v>1.0</v>
      </c>
      <c r="F271" s="17">
        <v>15000.0</v>
      </c>
      <c r="G271" s="25">
        <f t="shared" ref="G271:G283" si="4">E271*F271</f>
        <v>15000</v>
      </c>
      <c r="H271" s="28"/>
      <c r="I271" s="25">
        <f t="shared" si="2"/>
        <v>1</v>
      </c>
      <c r="J271" s="13"/>
    </row>
    <row r="272">
      <c r="B272" s="9" t="s">
        <v>149</v>
      </c>
      <c r="C272" s="69">
        <v>45733.0</v>
      </c>
      <c r="D272" s="14" t="s">
        <v>60</v>
      </c>
      <c r="E272" s="14">
        <v>15.0</v>
      </c>
      <c r="F272" s="17">
        <v>15000.0</v>
      </c>
      <c r="G272" s="25">
        <f t="shared" si="4"/>
        <v>225000</v>
      </c>
      <c r="H272" s="28"/>
      <c r="I272" s="25">
        <f t="shared" si="2"/>
        <v>15</v>
      </c>
      <c r="J272" s="29">
        <f>sum(I272:I286)</f>
        <v>115</v>
      </c>
    </row>
    <row r="273">
      <c r="B273" s="64"/>
      <c r="C273" s="64"/>
      <c r="D273" s="14" t="s">
        <v>17</v>
      </c>
      <c r="E273" s="14">
        <v>14.0</v>
      </c>
      <c r="F273" s="17">
        <v>18000.0</v>
      </c>
      <c r="G273" s="25">
        <f t="shared" si="4"/>
        <v>252000</v>
      </c>
      <c r="H273" s="28"/>
      <c r="I273" s="25">
        <f t="shared" si="2"/>
        <v>14</v>
      </c>
      <c r="J273" s="35"/>
    </row>
    <row r="274">
      <c r="B274" s="64"/>
      <c r="C274" s="64"/>
      <c r="D274" s="14" t="s">
        <v>56</v>
      </c>
      <c r="E274" s="14">
        <v>14.0</v>
      </c>
      <c r="F274" s="17">
        <v>15000.0</v>
      </c>
      <c r="G274" s="25">
        <f t="shared" si="4"/>
        <v>210000</v>
      </c>
      <c r="H274" s="28"/>
      <c r="I274" s="25">
        <f t="shared" si="2"/>
        <v>14</v>
      </c>
      <c r="J274" s="35"/>
    </row>
    <row r="275">
      <c r="B275" s="25"/>
      <c r="C275" s="25"/>
      <c r="D275" s="14" t="s">
        <v>101</v>
      </c>
      <c r="E275" s="14">
        <v>14.0</v>
      </c>
      <c r="F275" s="17">
        <v>13000.0</v>
      </c>
      <c r="G275" s="25">
        <f t="shared" si="4"/>
        <v>182000</v>
      </c>
      <c r="H275" s="28"/>
      <c r="I275" s="25">
        <f t="shared" si="2"/>
        <v>14</v>
      </c>
      <c r="J275" s="35"/>
    </row>
    <row r="276">
      <c r="B276" s="25"/>
      <c r="C276" s="25"/>
      <c r="D276" s="14" t="s">
        <v>77</v>
      </c>
      <c r="E276" s="14">
        <v>13.0</v>
      </c>
      <c r="F276" s="17">
        <v>15000.0</v>
      </c>
      <c r="G276" s="25">
        <f t="shared" si="4"/>
        <v>195000</v>
      </c>
      <c r="H276" s="28"/>
      <c r="I276" s="25">
        <f t="shared" si="2"/>
        <v>13</v>
      </c>
      <c r="J276" s="35"/>
    </row>
    <row r="277">
      <c r="B277" s="25"/>
      <c r="C277" s="25"/>
      <c r="D277" s="14" t="s">
        <v>62</v>
      </c>
      <c r="E277" s="14">
        <v>13.0</v>
      </c>
      <c r="F277" s="17">
        <v>15000.0</v>
      </c>
      <c r="G277" s="25">
        <f t="shared" si="4"/>
        <v>195000</v>
      </c>
      <c r="H277" s="28"/>
      <c r="I277" s="25">
        <f t="shared" si="2"/>
        <v>13</v>
      </c>
      <c r="J277" s="35"/>
    </row>
    <row r="278">
      <c r="B278" s="25"/>
      <c r="C278" s="25"/>
      <c r="D278" s="14" t="s">
        <v>72</v>
      </c>
      <c r="E278" s="14">
        <v>7.0</v>
      </c>
      <c r="F278" s="17">
        <v>13000.0</v>
      </c>
      <c r="G278" s="25">
        <f t="shared" si="4"/>
        <v>91000</v>
      </c>
      <c r="H278" s="28"/>
      <c r="I278" s="25">
        <f t="shared" si="2"/>
        <v>7</v>
      </c>
      <c r="J278" s="35"/>
    </row>
    <row r="279">
      <c r="B279" s="25"/>
      <c r="C279" s="25"/>
      <c r="D279" s="14" t="s">
        <v>109</v>
      </c>
      <c r="E279" s="14">
        <v>5.0</v>
      </c>
      <c r="F279" s="17">
        <v>18000.0</v>
      </c>
      <c r="G279" s="25">
        <f t="shared" si="4"/>
        <v>90000</v>
      </c>
      <c r="H279" s="28"/>
      <c r="I279" s="25">
        <f t="shared" si="2"/>
        <v>5</v>
      </c>
      <c r="J279" s="35"/>
    </row>
    <row r="280">
      <c r="B280" s="25"/>
      <c r="C280" s="25"/>
      <c r="D280" s="14" t="s">
        <v>76</v>
      </c>
      <c r="E280" s="14">
        <v>5.0</v>
      </c>
      <c r="F280" s="17">
        <v>10000.0</v>
      </c>
      <c r="G280" s="25">
        <f t="shared" si="4"/>
        <v>50000</v>
      </c>
      <c r="H280" s="28"/>
      <c r="I280" s="25">
        <f t="shared" si="2"/>
        <v>5</v>
      </c>
      <c r="J280" s="35"/>
    </row>
    <row r="281">
      <c r="B281" s="25"/>
      <c r="C281" s="25"/>
      <c r="D281" s="14" t="s">
        <v>65</v>
      </c>
      <c r="E281" s="14">
        <v>5.0</v>
      </c>
      <c r="F281" s="17">
        <v>13000.0</v>
      </c>
      <c r="G281" s="25">
        <f t="shared" si="4"/>
        <v>65000</v>
      </c>
      <c r="H281" s="28"/>
      <c r="I281" s="25">
        <f t="shared" si="2"/>
        <v>5</v>
      </c>
      <c r="J281" s="35"/>
    </row>
    <row r="282">
      <c r="B282" s="25"/>
      <c r="C282" s="25"/>
      <c r="D282" s="14" t="s">
        <v>69</v>
      </c>
      <c r="E282" s="14">
        <v>4.0</v>
      </c>
      <c r="F282" s="17">
        <v>13000.0</v>
      </c>
      <c r="G282" s="25">
        <f t="shared" si="4"/>
        <v>52000</v>
      </c>
      <c r="H282" s="28"/>
      <c r="I282" s="25">
        <f t="shared" si="2"/>
        <v>4</v>
      </c>
      <c r="J282" s="35"/>
    </row>
    <row r="283">
      <c r="B283" s="25"/>
      <c r="C283" s="25"/>
      <c r="D283" s="14" t="s">
        <v>71</v>
      </c>
      <c r="E283" s="14">
        <v>3.0</v>
      </c>
      <c r="F283" s="17">
        <v>18000.0</v>
      </c>
      <c r="G283" s="25">
        <f t="shared" si="4"/>
        <v>54000</v>
      </c>
      <c r="H283" s="28"/>
      <c r="I283" s="25">
        <f t="shared" si="2"/>
        <v>3</v>
      </c>
      <c r="J283" s="35"/>
    </row>
    <row r="284">
      <c r="B284" s="25"/>
      <c r="C284" s="25"/>
      <c r="D284" s="14" t="s">
        <v>79</v>
      </c>
      <c r="E284" s="14">
        <v>1.0</v>
      </c>
      <c r="F284" s="25"/>
      <c r="G284" s="25"/>
      <c r="H284" s="28"/>
      <c r="I284" s="25">
        <f t="shared" si="2"/>
        <v>1</v>
      </c>
      <c r="J284" s="35"/>
    </row>
    <row r="285">
      <c r="B285" s="25"/>
      <c r="C285" s="25"/>
      <c r="D285" s="14" t="s">
        <v>53</v>
      </c>
      <c r="E285" s="14">
        <v>1.0</v>
      </c>
      <c r="F285" s="17">
        <v>15000.0</v>
      </c>
      <c r="G285" s="25">
        <f t="shared" ref="G285:G286" si="5">E285*F285</f>
        <v>15000</v>
      </c>
      <c r="H285" s="28"/>
      <c r="I285" s="25">
        <f t="shared" si="2"/>
        <v>1</v>
      </c>
      <c r="J285" s="35"/>
    </row>
    <row r="286">
      <c r="B286" s="25"/>
      <c r="C286" s="25"/>
      <c r="D286" s="14" t="s">
        <v>111</v>
      </c>
      <c r="E286" s="14">
        <v>1.0</v>
      </c>
      <c r="F286" s="17">
        <v>46750.0</v>
      </c>
      <c r="G286" s="25">
        <f t="shared" si="5"/>
        <v>46750</v>
      </c>
      <c r="H286" s="28"/>
      <c r="I286" s="25">
        <f t="shared" si="2"/>
        <v>1</v>
      </c>
      <c r="J286" s="13"/>
    </row>
    <row r="287">
      <c r="B287" s="9" t="s">
        <v>150</v>
      </c>
      <c r="C287" s="69">
        <v>45734.0</v>
      </c>
      <c r="D287" s="14" t="s">
        <v>60</v>
      </c>
      <c r="E287" s="14">
        <v>22.0</v>
      </c>
      <c r="F287" s="17">
        <v>15000.0</v>
      </c>
      <c r="G287" s="25">
        <f t="shared" ref="G287:G386" si="6">F287*E287</f>
        <v>330000</v>
      </c>
      <c r="H287" s="28"/>
      <c r="I287" s="25">
        <f t="shared" si="2"/>
        <v>22</v>
      </c>
      <c r="J287" s="29">
        <f>SUM(I287:I299)</f>
        <v>166</v>
      </c>
    </row>
    <row r="288">
      <c r="B288" s="25"/>
      <c r="C288" s="25"/>
      <c r="D288" s="14" t="s">
        <v>17</v>
      </c>
      <c r="E288" s="14">
        <v>21.0</v>
      </c>
      <c r="F288" s="17">
        <v>18000.0</v>
      </c>
      <c r="G288" s="25">
        <f t="shared" si="6"/>
        <v>378000</v>
      </c>
      <c r="H288" s="28"/>
      <c r="I288" s="25">
        <f t="shared" si="2"/>
        <v>21</v>
      </c>
      <c r="J288" s="35"/>
    </row>
    <row r="289">
      <c r="B289" s="25"/>
      <c r="C289" s="25"/>
      <c r="D289" s="14" t="s">
        <v>77</v>
      </c>
      <c r="E289" s="14">
        <v>18.0</v>
      </c>
      <c r="F289" s="17">
        <v>15000.0</v>
      </c>
      <c r="G289" s="25">
        <f t="shared" si="6"/>
        <v>270000</v>
      </c>
      <c r="H289" s="28"/>
      <c r="I289" s="25">
        <f t="shared" si="2"/>
        <v>18</v>
      </c>
      <c r="J289" s="35"/>
    </row>
    <row r="290">
      <c r="B290" s="25"/>
      <c r="C290" s="25"/>
      <c r="D290" s="14" t="s">
        <v>56</v>
      </c>
      <c r="E290" s="14">
        <v>17.0</v>
      </c>
      <c r="F290" s="17">
        <v>15000.0</v>
      </c>
      <c r="G290" s="25">
        <f t="shared" si="6"/>
        <v>255000</v>
      </c>
      <c r="H290" s="28"/>
      <c r="I290" s="25">
        <f t="shared" si="2"/>
        <v>17</v>
      </c>
      <c r="J290" s="35"/>
    </row>
    <row r="291">
      <c r="B291" s="25"/>
      <c r="C291" s="25"/>
      <c r="D291" s="14" t="s">
        <v>76</v>
      </c>
      <c r="E291" s="14">
        <v>17.0</v>
      </c>
      <c r="F291" s="17">
        <v>10000.0</v>
      </c>
      <c r="G291" s="25">
        <f t="shared" si="6"/>
        <v>170000</v>
      </c>
      <c r="H291" s="28"/>
      <c r="I291" s="25">
        <f t="shared" si="2"/>
        <v>17</v>
      </c>
      <c r="J291" s="35"/>
    </row>
    <row r="292">
      <c r="B292" s="25"/>
      <c r="C292" s="25"/>
      <c r="D292" s="14" t="s">
        <v>62</v>
      </c>
      <c r="E292" s="14">
        <v>16.0</v>
      </c>
      <c r="F292" s="17">
        <v>15000.0</v>
      </c>
      <c r="G292" s="25">
        <f t="shared" si="6"/>
        <v>240000</v>
      </c>
      <c r="H292" s="28"/>
      <c r="I292" s="25">
        <f t="shared" si="2"/>
        <v>16</v>
      </c>
      <c r="J292" s="35"/>
    </row>
    <row r="293">
      <c r="B293" s="25"/>
      <c r="C293" s="25"/>
      <c r="D293" s="14" t="s">
        <v>72</v>
      </c>
      <c r="E293" s="14">
        <v>16.0</v>
      </c>
      <c r="F293" s="17">
        <v>13000.0</v>
      </c>
      <c r="G293" s="25">
        <f t="shared" si="6"/>
        <v>208000</v>
      </c>
      <c r="H293" s="28"/>
      <c r="I293" s="25">
        <f t="shared" si="2"/>
        <v>16</v>
      </c>
      <c r="J293" s="35"/>
    </row>
    <row r="294">
      <c r="B294" s="25"/>
      <c r="C294" s="25"/>
      <c r="D294" s="14" t="s">
        <v>69</v>
      </c>
      <c r="E294" s="14">
        <v>10.0</v>
      </c>
      <c r="F294" s="17">
        <v>13000.0</v>
      </c>
      <c r="G294" s="25">
        <f t="shared" si="6"/>
        <v>130000</v>
      </c>
      <c r="H294" s="28"/>
      <c r="I294" s="25">
        <f t="shared" si="2"/>
        <v>10</v>
      </c>
      <c r="J294" s="35"/>
    </row>
    <row r="295">
      <c r="B295" s="25"/>
      <c r="C295" s="25"/>
      <c r="D295" s="14" t="s">
        <v>101</v>
      </c>
      <c r="E295" s="14">
        <v>10.0</v>
      </c>
      <c r="F295" s="17">
        <v>13000.0</v>
      </c>
      <c r="G295" s="25">
        <f t="shared" si="6"/>
        <v>130000</v>
      </c>
      <c r="H295" s="28"/>
      <c r="I295" s="25">
        <f t="shared" si="2"/>
        <v>10</v>
      </c>
      <c r="J295" s="35"/>
    </row>
    <row r="296">
      <c r="B296" s="25"/>
      <c r="C296" s="25"/>
      <c r="D296" s="14" t="s">
        <v>65</v>
      </c>
      <c r="E296" s="14">
        <v>9.0</v>
      </c>
      <c r="F296" s="17">
        <v>13000.0</v>
      </c>
      <c r="G296" s="25">
        <f t="shared" si="6"/>
        <v>117000</v>
      </c>
      <c r="H296" s="28"/>
      <c r="I296" s="25">
        <f t="shared" si="2"/>
        <v>9</v>
      </c>
      <c r="J296" s="35"/>
    </row>
    <row r="297">
      <c r="B297" s="25"/>
      <c r="C297" s="25"/>
      <c r="D297" s="14" t="s">
        <v>109</v>
      </c>
      <c r="E297" s="14">
        <v>7.0</v>
      </c>
      <c r="F297" s="17">
        <v>18000.0</v>
      </c>
      <c r="G297" s="25">
        <f t="shared" si="6"/>
        <v>126000</v>
      </c>
      <c r="H297" s="28"/>
      <c r="I297" s="25">
        <f t="shared" si="2"/>
        <v>7</v>
      </c>
      <c r="J297" s="35"/>
    </row>
    <row r="298">
      <c r="B298" s="25"/>
      <c r="C298" s="25"/>
      <c r="D298" s="14" t="s">
        <v>107</v>
      </c>
      <c r="E298" s="14">
        <v>2.0</v>
      </c>
      <c r="F298" s="17">
        <v>18000.0</v>
      </c>
      <c r="G298" s="25">
        <f t="shared" si="6"/>
        <v>36000</v>
      </c>
      <c r="H298" s="28"/>
      <c r="I298" s="25">
        <f t="shared" si="2"/>
        <v>2</v>
      </c>
      <c r="J298" s="35"/>
    </row>
    <row r="299">
      <c r="B299" s="25"/>
      <c r="C299" s="25"/>
      <c r="D299" s="14" t="s">
        <v>53</v>
      </c>
      <c r="E299" s="14">
        <v>1.0</v>
      </c>
      <c r="F299" s="17">
        <v>15000.0</v>
      </c>
      <c r="G299" s="25">
        <f t="shared" si="6"/>
        <v>15000</v>
      </c>
      <c r="H299" s="28"/>
      <c r="I299" s="25">
        <f t="shared" si="2"/>
        <v>1</v>
      </c>
      <c r="J299" s="13"/>
    </row>
    <row r="300">
      <c r="B300" s="9" t="s">
        <v>151</v>
      </c>
      <c r="C300" s="69">
        <v>45735.0</v>
      </c>
      <c r="D300" s="14" t="s">
        <v>17</v>
      </c>
      <c r="E300" s="14">
        <v>21.0</v>
      </c>
      <c r="F300" s="17">
        <v>18000.0</v>
      </c>
      <c r="G300" s="25">
        <f t="shared" si="6"/>
        <v>378000</v>
      </c>
      <c r="H300" s="28"/>
      <c r="I300" s="25">
        <f t="shared" si="2"/>
        <v>21</v>
      </c>
      <c r="J300" s="29">
        <f>SUM(I300:I314)</f>
        <v>120</v>
      </c>
    </row>
    <row r="301">
      <c r="B301" s="25"/>
      <c r="C301" s="25"/>
      <c r="D301" s="14" t="s">
        <v>60</v>
      </c>
      <c r="E301" s="14">
        <v>15.0</v>
      </c>
      <c r="F301" s="17">
        <v>15000.0</v>
      </c>
      <c r="G301" s="25">
        <f t="shared" si="6"/>
        <v>225000</v>
      </c>
      <c r="H301" s="28"/>
      <c r="I301" s="25">
        <f t="shared" si="2"/>
        <v>15</v>
      </c>
      <c r="J301" s="35"/>
    </row>
    <row r="302">
      <c r="B302" s="25"/>
      <c r="C302" s="25"/>
      <c r="D302" s="14" t="s">
        <v>62</v>
      </c>
      <c r="E302" s="14">
        <v>12.0</v>
      </c>
      <c r="F302" s="17">
        <v>15000.0</v>
      </c>
      <c r="G302" s="25">
        <f t="shared" si="6"/>
        <v>180000</v>
      </c>
      <c r="H302" s="28"/>
      <c r="I302" s="25">
        <f t="shared" si="2"/>
        <v>12</v>
      </c>
      <c r="J302" s="35"/>
    </row>
    <row r="303">
      <c r="B303" s="25"/>
      <c r="C303" s="25"/>
      <c r="D303" s="14" t="s">
        <v>56</v>
      </c>
      <c r="E303" s="14">
        <v>10.0</v>
      </c>
      <c r="F303" s="17">
        <v>15000.0</v>
      </c>
      <c r="G303" s="25">
        <f t="shared" si="6"/>
        <v>150000</v>
      </c>
      <c r="H303" s="28"/>
      <c r="I303" s="25">
        <f t="shared" si="2"/>
        <v>10</v>
      </c>
      <c r="J303" s="35"/>
    </row>
    <row r="304">
      <c r="B304" s="25"/>
      <c r="C304" s="25"/>
      <c r="D304" s="14" t="s">
        <v>77</v>
      </c>
      <c r="E304" s="14">
        <v>10.0</v>
      </c>
      <c r="F304" s="17">
        <v>15000.0</v>
      </c>
      <c r="G304" s="25">
        <f t="shared" si="6"/>
        <v>150000</v>
      </c>
      <c r="H304" s="28"/>
      <c r="I304" s="25">
        <f t="shared" si="2"/>
        <v>10</v>
      </c>
      <c r="J304" s="35"/>
    </row>
    <row r="305">
      <c r="B305" s="25"/>
      <c r="C305" s="25"/>
      <c r="D305" s="14" t="s">
        <v>101</v>
      </c>
      <c r="E305" s="14">
        <v>9.0</v>
      </c>
      <c r="F305" s="17">
        <v>13000.0</v>
      </c>
      <c r="G305" s="25">
        <f t="shared" si="6"/>
        <v>117000</v>
      </c>
      <c r="H305" s="28"/>
      <c r="I305" s="25">
        <f t="shared" si="2"/>
        <v>9</v>
      </c>
      <c r="J305" s="35"/>
    </row>
    <row r="306">
      <c r="B306" s="25"/>
      <c r="C306" s="25"/>
      <c r="D306" s="14" t="s">
        <v>69</v>
      </c>
      <c r="E306" s="14">
        <v>9.0</v>
      </c>
      <c r="F306" s="17">
        <v>13000.0</v>
      </c>
      <c r="G306" s="25">
        <f t="shared" si="6"/>
        <v>117000</v>
      </c>
      <c r="H306" s="28"/>
      <c r="I306" s="25">
        <f t="shared" si="2"/>
        <v>9</v>
      </c>
      <c r="J306" s="35"/>
    </row>
    <row r="307">
      <c r="B307" s="25"/>
      <c r="C307" s="25"/>
      <c r="D307" s="14" t="s">
        <v>53</v>
      </c>
      <c r="E307" s="14">
        <v>6.0</v>
      </c>
      <c r="F307" s="17">
        <v>15000.0</v>
      </c>
      <c r="G307" s="25">
        <f t="shared" si="6"/>
        <v>90000</v>
      </c>
      <c r="H307" s="28"/>
      <c r="I307" s="25">
        <f t="shared" si="2"/>
        <v>6</v>
      </c>
      <c r="J307" s="35"/>
    </row>
    <row r="308">
      <c r="B308" s="25"/>
      <c r="C308" s="25"/>
      <c r="D308" s="14" t="s">
        <v>65</v>
      </c>
      <c r="E308" s="14">
        <v>6.0</v>
      </c>
      <c r="F308" s="17">
        <v>13000.0</v>
      </c>
      <c r="G308" s="25">
        <f t="shared" si="6"/>
        <v>78000</v>
      </c>
      <c r="H308" s="28"/>
      <c r="I308" s="25">
        <f t="shared" si="2"/>
        <v>6</v>
      </c>
      <c r="J308" s="35"/>
    </row>
    <row r="309">
      <c r="B309" s="25"/>
      <c r="C309" s="25"/>
      <c r="D309" s="14" t="s">
        <v>72</v>
      </c>
      <c r="E309" s="14">
        <v>6.0</v>
      </c>
      <c r="F309" s="17">
        <v>13000.0</v>
      </c>
      <c r="G309" s="25">
        <f t="shared" si="6"/>
        <v>78000</v>
      </c>
      <c r="H309" s="28"/>
      <c r="I309" s="25">
        <f t="shared" si="2"/>
        <v>6</v>
      </c>
      <c r="J309" s="35"/>
    </row>
    <row r="310">
      <c r="B310" s="25"/>
      <c r="C310" s="25"/>
      <c r="D310" s="14" t="s">
        <v>76</v>
      </c>
      <c r="E310" s="14">
        <v>6.0</v>
      </c>
      <c r="F310" s="17">
        <v>10000.0</v>
      </c>
      <c r="G310" s="25">
        <f t="shared" si="6"/>
        <v>60000</v>
      </c>
      <c r="H310" s="28"/>
      <c r="I310" s="25">
        <f t="shared" si="2"/>
        <v>6</v>
      </c>
      <c r="J310" s="35"/>
    </row>
    <row r="311">
      <c r="B311" s="25"/>
      <c r="C311" s="25"/>
      <c r="D311" s="14" t="s">
        <v>109</v>
      </c>
      <c r="E311" s="14">
        <v>4.0</v>
      </c>
      <c r="F311" s="17">
        <v>18000.0</v>
      </c>
      <c r="G311" s="25">
        <f t="shared" si="6"/>
        <v>72000</v>
      </c>
      <c r="H311" s="28"/>
      <c r="I311" s="25">
        <f t="shared" si="2"/>
        <v>4</v>
      </c>
      <c r="J311" s="35"/>
    </row>
    <row r="312">
      <c r="B312" s="25"/>
      <c r="C312" s="25"/>
      <c r="D312" s="14" t="s">
        <v>59</v>
      </c>
      <c r="E312" s="14">
        <v>3.0</v>
      </c>
      <c r="F312" s="17">
        <v>10000.0</v>
      </c>
      <c r="G312" s="25">
        <f t="shared" si="6"/>
        <v>30000</v>
      </c>
      <c r="H312" s="28"/>
      <c r="I312" s="25">
        <f t="shared" si="2"/>
        <v>3</v>
      </c>
      <c r="J312" s="35"/>
    </row>
    <row r="313">
      <c r="B313" s="25"/>
      <c r="C313" s="25"/>
      <c r="D313" s="14" t="s">
        <v>107</v>
      </c>
      <c r="E313" s="14">
        <v>2.0</v>
      </c>
      <c r="F313" s="17">
        <v>18000.0</v>
      </c>
      <c r="G313" s="25">
        <f t="shared" si="6"/>
        <v>36000</v>
      </c>
      <c r="H313" s="28"/>
      <c r="I313" s="25">
        <f t="shared" si="2"/>
        <v>2</v>
      </c>
      <c r="J313" s="35"/>
    </row>
    <row r="314">
      <c r="B314" s="25"/>
      <c r="C314" s="25"/>
      <c r="D314" s="14" t="s">
        <v>71</v>
      </c>
      <c r="E314" s="14">
        <v>1.0</v>
      </c>
      <c r="F314" s="17">
        <v>18000.0</v>
      </c>
      <c r="G314" s="25">
        <f t="shared" si="6"/>
        <v>18000</v>
      </c>
      <c r="H314" s="28"/>
      <c r="I314" s="25">
        <f t="shared" si="2"/>
        <v>1</v>
      </c>
      <c r="J314" s="13"/>
    </row>
    <row r="315">
      <c r="B315" s="9" t="s">
        <v>152</v>
      </c>
      <c r="C315" s="69">
        <v>45736.0</v>
      </c>
      <c r="D315" s="14" t="s">
        <v>56</v>
      </c>
      <c r="E315" s="14">
        <v>23.0</v>
      </c>
      <c r="F315" s="17">
        <v>15000.0</v>
      </c>
      <c r="G315" s="25">
        <f t="shared" si="6"/>
        <v>345000</v>
      </c>
      <c r="H315" s="28"/>
      <c r="I315" s="25">
        <f t="shared" si="2"/>
        <v>23</v>
      </c>
      <c r="J315" s="29">
        <f>sum(I315:I331)</f>
        <v>112</v>
      </c>
    </row>
    <row r="316">
      <c r="B316" s="25"/>
      <c r="C316" s="25"/>
      <c r="D316" s="14" t="s">
        <v>17</v>
      </c>
      <c r="E316" s="14">
        <v>16.0</v>
      </c>
      <c r="F316" s="17">
        <v>18000.0</v>
      </c>
      <c r="G316" s="25">
        <f t="shared" si="6"/>
        <v>288000</v>
      </c>
      <c r="H316" s="28"/>
      <c r="I316" s="25">
        <f t="shared" si="2"/>
        <v>16</v>
      </c>
      <c r="J316" s="35"/>
    </row>
    <row r="317">
      <c r="B317" s="25"/>
      <c r="C317" s="25"/>
      <c r="D317" s="14" t="s">
        <v>60</v>
      </c>
      <c r="E317" s="14">
        <v>12.0</v>
      </c>
      <c r="F317" s="17">
        <v>15000.0</v>
      </c>
      <c r="G317" s="25">
        <f t="shared" si="6"/>
        <v>180000</v>
      </c>
      <c r="H317" s="28"/>
      <c r="I317" s="25">
        <f t="shared" si="2"/>
        <v>12</v>
      </c>
      <c r="J317" s="35"/>
    </row>
    <row r="318">
      <c r="B318" s="25"/>
      <c r="C318" s="25"/>
      <c r="D318" s="14" t="s">
        <v>65</v>
      </c>
      <c r="E318" s="14">
        <v>11.0</v>
      </c>
      <c r="F318" s="17">
        <v>13000.0</v>
      </c>
      <c r="G318" s="25">
        <f t="shared" si="6"/>
        <v>143000</v>
      </c>
      <c r="H318" s="28"/>
      <c r="I318" s="25">
        <f t="shared" si="2"/>
        <v>11</v>
      </c>
      <c r="J318" s="35"/>
    </row>
    <row r="319">
      <c r="B319" s="25"/>
      <c r="C319" s="25"/>
      <c r="D319" s="14" t="s">
        <v>62</v>
      </c>
      <c r="E319" s="14">
        <v>8.0</v>
      </c>
      <c r="F319" s="17">
        <v>15000.0</v>
      </c>
      <c r="G319" s="25">
        <f t="shared" si="6"/>
        <v>120000</v>
      </c>
      <c r="H319" s="28"/>
      <c r="I319" s="25">
        <f t="shared" si="2"/>
        <v>8</v>
      </c>
      <c r="J319" s="35"/>
    </row>
    <row r="320">
      <c r="B320" s="25"/>
      <c r="C320" s="25"/>
      <c r="D320" s="14" t="s">
        <v>72</v>
      </c>
      <c r="E320" s="14">
        <v>8.0</v>
      </c>
      <c r="F320" s="17">
        <v>13000.0</v>
      </c>
      <c r="G320" s="25">
        <f t="shared" si="6"/>
        <v>104000</v>
      </c>
      <c r="H320" s="28"/>
      <c r="I320" s="25">
        <f t="shared" si="2"/>
        <v>8</v>
      </c>
      <c r="J320" s="35"/>
    </row>
    <row r="321">
      <c r="B321" s="25"/>
      <c r="C321" s="25"/>
      <c r="D321" s="14" t="s">
        <v>76</v>
      </c>
      <c r="E321" s="14">
        <v>7.0</v>
      </c>
      <c r="F321" s="17">
        <v>10000.0</v>
      </c>
      <c r="G321" s="25">
        <f t="shared" si="6"/>
        <v>70000</v>
      </c>
      <c r="H321" s="28"/>
      <c r="I321" s="25">
        <f t="shared" si="2"/>
        <v>7</v>
      </c>
      <c r="J321" s="35"/>
    </row>
    <row r="322">
      <c r="B322" s="25"/>
      <c r="C322" s="25"/>
      <c r="D322" s="14" t="s">
        <v>77</v>
      </c>
      <c r="E322" s="14">
        <v>4.0</v>
      </c>
      <c r="F322" s="17">
        <v>15000.0</v>
      </c>
      <c r="G322" s="25">
        <f t="shared" si="6"/>
        <v>60000</v>
      </c>
      <c r="H322" s="28"/>
      <c r="I322" s="25">
        <f t="shared" si="2"/>
        <v>4</v>
      </c>
      <c r="J322" s="35"/>
    </row>
    <row r="323">
      <c r="B323" s="25"/>
      <c r="C323" s="25"/>
      <c r="D323" s="14" t="s">
        <v>69</v>
      </c>
      <c r="E323" s="14">
        <v>4.0</v>
      </c>
      <c r="F323" s="17">
        <v>13000.0</v>
      </c>
      <c r="G323" s="25">
        <f t="shared" si="6"/>
        <v>52000</v>
      </c>
      <c r="H323" s="28"/>
      <c r="I323" s="25">
        <f t="shared" si="2"/>
        <v>4</v>
      </c>
      <c r="J323" s="35"/>
    </row>
    <row r="324">
      <c r="B324" s="25"/>
      <c r="C324" s="25"/>
      <c r="D324" s="14" t="s">
        <v>53</v>
      </c>
      <c r="E324" s="14">
        <v>4.0</v>
      </c>
      <c r="F324" s="17">
        <v>15000.0</v>
      </c>
      <c r="G324" s="25">
        <f t="shared" si="6"/>
        <v>60000</v>
      </c>
      <c r="H324" s="28"/>
      <c r="I324" s="25">
        <f t="shared" si="2"/>
        <v>4</v>
      </c>
      <c r="J324" s="35"/>
    </row>
    <row r="325">
      <c r="B325" s="25"/>
      <c r="C325" s="25"/>
      <c r="D325" s="14" t="s">
        <v>101</v>
      </c>
      <c r="E325" s="14">
        <v>4.0</v>
      </c>
      <c r="F325" s="17">
        <v>13000.0</v>
      </c>
      <c r="G325" s="25">
        <f t="shared" si="6"/>
        <v>52000</v>
      </c>
      <c r="H325" s="28"/>
      <c r="I325" s="25">
        <f t="shared" si="2"/>
        <v>4</v>
      </c>
      <c r="J325" s="35"/>
    </row>
    <row r="326">
      <c r="B326" s="25"/>
      <c r="C326" s="25"/>
      <c r="D326" s="14" t="s">
        <v>71</v>
      </c>
      <c r="E326" s="14">
        <v>3.0</v>
      </c>
      <c r="F326" s="17">
        <v>18000.0</v>
      </c>
      <c r="G326" s="25">
        <f t="shared" si="6"/>
        <v>54000</v>
      </c>
      <c r="H326" s="28"/>
      <c r="I326" s="25">
        <f t="shared" si="2"/>
        <v>3</v>
      </c>
      <c r="J326" s="35"/>
    </row>
    <row r="327">
      <c r="B327" s="25"/>
      <c r="C327" s="25"/>
      <c r="D327" s="14" t="s">
        <v>109</v>
      </c>
      <c r="E327" s="14">
        <v>2.0</v>
      </c>
      <c r="F327" s="17">
        <v>18000.0</v>
      </c>
      <c r="G327" s="25">
        <f t="shared" si="6"/>
        <v>36000</v>
      </c>
      <c r="H327" s="28"/>
      <c r="I327" s="25">
        <f t="shared" si="2"/>
        <v>2</v>
      </c>
      <c r="J327" s="35"/>
    </row>
    <row r="328">
      <c r="B328" s="25"/>
      <c r="C328" s="25"/>
      <c r="D328" s="14" t="s">
        <v>107</v>
      </c>
      <c r="E328" s="14">
        <v>2.0</v>
      </c>
      <c r="F328" s="17">
        <v>18000.0</v>
      </c>
      <c r="G328" s="25">
        <f t="shared" si="6"/>
        <v>36000</v>
      </c>
      <c r="H328" s="28"/>
      <c r="I328" s="25">
        <f t="shared" si="2"/>
        <v>2</v>
      </c>
      <c r="J328" s="35"/>
    </row>
    <row r="329">
      <c r="B329" s="25"/>
      <c r="C329" s="25"/>
      <c r="D329" s="14" t="s">
        <v>116</v>
      </c>
      <c r="E329" s="14">
        <v>2.0</v>
      </c>
      <c r="F329" s="17">
        <v>23800.0</v>
      </c>
      <c r="G329" s="25">
        <f t="shared" si="6"/>
        <v>47600</v>
      </c>
      <c r="H329" s="28"/>
      <c r="I329" s="25">
        <f t="shared" si="2"/>
        <v>2</v>
      </c>
      <c r="J329" s="35"/>
    </row>
    <row r="330">
      <c r="B330" s="25"/>
      <c r="C330" s="25"/>
      <c r="D330" s="14" t="s">
        <v>59</v>
      </c>
      <c r="E330" s="14">
        <v>1.0</v>
      </c>
      <c r="F330" s="17">
        <v>10000.0</v>
      </c>
      <c r="G330" s="25">
        <f t="shared" si="6"/>
        <v>10000</v>
      </c>
      <c r="H330" s="28"/>
      <c r="I330" s="25">
        <f t="shared" si="2"/>
        <v>1</v>
      </c>
      <c r="J330" s="35"/>
    </row>
    <row r="331">
      <c r="B331" s="25"/>
      <c r="C331" s="25"/>
      <c r="D331" s="14" t="s">
        <v>111</v>
      </c>
      <c r="E331" s="14">
        <v>1.0</v>
      </c>
      <c r="F331" s="17">
        <v>46750.0</v>
      </c>
      <c r="G331" s="25">
        <f t="shared" si="6"/>
        <v>46750</v>
      </c>
      <c r="H331" s="28"/>
      <c r="I331" s="25">
        <f t="shared" si="2"/>
        <v>1</v>
      </c>
      <c r="J331" s="13"/>
    </row>
    <row r="332">
      <c r="B332" s="9" t="s">
        <v>154</v>
      </c>
      <c r="C332" s="69">
        <v>45737.0</v>
      </c>
      <c r="D332" s="14" t="s">
        <v>17</v>
      </c>
      <c r="E332" s="14">
        <v>28.0</v>
      </c>
      <c r="F332" s="17">
        <v>18000.0</v>
      </c>
      <c r="G332" s="25">
        <f t="shared" si="6"/>
        <v>504000</v>
      </c>
      <c r="H332" s="28"/>
      <c r="I332" s="25">
        <f t="shared" si="2"/>
        <v>28</v>
      </c>
      <c r="J332" s="29">
        <f>SUM(I332:I345)</f>
        <v>118</v>
      </c>
    </row>
    <row r="333">
      <c r="B333" s="25"/>
      <c r="C333" s="25"/>
      <c r="D333" s="14" t="s">
        <v>56</v>
      </c>
      <c r="E333" s="14">
        <v>20.0</v>
      </c>
      <c r="F333" s="17">
        <v>15000.0</v>
      </c>
      <c r="G333" s="25">
        <f t="shared" si="6"/>
        <v>300000</v>
      </c>
      <c r="H333" s="28"/>
      <c r="I333" s="25">
        <f t="shared" si="2"/>
        <v>20</v>
      </c>
      <c r="J333" s="35"/>
    </row>
    <row r="334">
      <c r="B334" s="25"/>
      <c r="C334" s="25"/>
      <c r="D334" s="14" t="s">
        <v>60</v>
      </c>
      <c r="E334" s="14">
        <v>11.0</v>
      </c>
      <c r="F334" s="17">
        <v>15000.0</v>
      </c>
      <c r="G334" s="25">
        <f t="shared" si="6"/>
        <v>165000</v>
      </c>
      <c r="H334" s="28"/>
      <c r="I334" s="25">
        <f t="shared" si="2"/>
        <v>11</v>
      </c>
      <c r="J334" s="35"/>
    </row>
    <row r="335">
      <c r="B335" s="25"/>
      <c r="C335" s="25"/>
      <c r="D335" s="14" t="s">
        <v>77</v>
      </c>
      <c r="E335" s="14">
        <v>10.0</v>
      </c>
      <c r="F335" s="17">
        <v>15000.0</v>
      </c>
      <c r="G335" s="25">
        <f t="shared" si="6"/>
        <v>150000</v>
      </c>
      <c r="H335" s="28"/>
      <c r="I335" s="25">
        <f t="shared" si="2"/>
        <v>10</v>
      </c>
      <c r="J335" s="35"/>
    </row>
    <row r="336">
      <c r="B336" s="25"/>
      <c r="C336" s="25"/>
      <c r="D336" s="14" t="s">
        <v>65</v>
      </c>
      <c r="E336" s="1">
        <v>10.0</v>
      </c>
      <c r="F336" s="17">
        <v>13000.0</v>
      </c>
      <c r="G336" s="25">
        <f t="shared" si="6"/>
        <v>130000</v>
      </c>
      <c r="H336" s="28"/>
      <c r="I336" s="25">
        <f t="shared" si="2"/>
        <v>10</v>
      </c>
      <c r="J336" s="35"/>
    </row>
    <row r="337">
      <c r="B337" s="25"/>
      <c r="C337" s="25"/>
      <c r="D337" s="14" t="s">
        <v>72</v>
      </c>
      <c r="E337" s="14">
        <v>8.0</v>
      </c>
      <c r="F337" s="17">
        <v>13000.0</v>
      </c>
      <c r="G337" s="25">
        <f t="shared" si="6"/>
        <v>104000</v>
      </c>
      <c r="H337" s="28"/>
      <c r="I337" s="25">
        <f t="shared" si="2"/>
        <v>8</v>
      </c>
      <c r="J337" s="35"/>
    </row>
    <row r="338">
      <c r="B338" s="25"/>
      <c r="C338" s="25"/>
      <c r="D338" s="14" t="s">
        <v>69</v>
      </c>
      <c r="E338" s="14">
        <v>7.0</v>
      </c>
      <c r="F338" s="17">
        <v>13000.0</v>
      </c>
      <c r="G338" s="25">
        <f t="shared" si="6"/>
        <v>91000</v>
      </c>
      <c r="H338" s="28"/>
      <c r="I338" s="25">
        <f t="shared" si="2"/>
        <v>7</v>
      </c>
      <c r="J338" s="35"/>
    </row>
    <row r="339">
      <c r="B339" s="25"/>
      <c r="C339" s="25"/>
      <c r="D339" s="14" t="s">
        <v>101</v>
      </c>
      <c r="E339" s="14">
        <v>6.0</v>
      </c>
      <c r="F339" s="17">
        <v>13000.0</v>
      </c>
      <c r="G339" s="25">
        <f t="shared" si="6"/>
        <v>78000</v>
      </c>
      <c r="H339" s="28"/>
      <c r="I339" s="25">
        <f t="shared" si="2"/>
        <v>6</v>
      </c>
      <c r="J339" s="35"/>
    </row>
    <row r="340">
      <c r="B340" s="25"/>
      <c r="C340" s="25"/>
      <c r="D340" s="14" t="s">
        <v>76</v>
      </c>
      <c r="E340" s="14">
        <v>5.0</v>
      </c>
      <c r="F340" s="17">
        <v>10000.0</v>
      </c>
      <c r="G340" s="25">
        <f t="shared" si="6"/>
        <v>50000</v>
      </c>
      <c r="H340" s="28"/>
      <c r="I340" s="25">
        <f t="shared" si="2"/>
        <v>5</v>
      </c>
      <c r="J340" s="35"/>
    </row>
    <row r="341">
      <c r="B341" s="25"/>
      <c r="C341" s="25"/>
      <c r="D341" s="14" t="s">
        <v>53</v>
      </c>
      <c r="E341" s="14">
        <v>4.0</v>
      </c>
      <c r="F341" s="17">
        <v>15000.0</v>
      </c>
      <c r="G341" s="25">
        <f t="shared" si="6"/>
        <v>60000</v>
      </c>
      <c r="H341" s="28"/>
      <c r="I341" s="25">
        <f t="shared" si="2"/>
        <v>4</v>
      </c>
      <c r="J341" s="35"/>
    </row>
    <row r="342">
      <c r="B342" s="25"/>
      <c r="C342" s="25"/>
      <c r="D342" s="14" t="s">
        <v>109</v>
      </c>
      <c r="E342" s="14">
        <v>3.0</v>
      </c>
      <c r="F342" s="17">
        <v>18000.0</v>
      </c>
      <c r="G342" s="25">
        <f t="shared" si="6"/>
        <v>54000</v>
      </c>
      <c r="H342" s="28"/>
      <c r="I342" s="25">
        <f t="shared" si="2"/>
        <v>3</v>
      </c>
      <c r="J342" s="35"/>
    </row>
    <row r="343">
      <c r="B343" s="25"/>
      <c r="C343" s="25"/>
      <c r="D343" s="14" t="s">
        <v>62</v>
      </c>
      <c r="E343" s="14">
        <v>3.0</v>
      </c>
      <c r="F343" s="17">
        <v>15000.0</v>
      </c>
      <c r="G343" s="25">
        <f t="shared" si="6"/>
        <v>45000</v>
      </c>
      <c r="H343" s="28"/>
      <c r="I343" s="25">
        <f t="shared" si="2"/>
        <v>3</v>
      </c>
      <c r="J343" s="35"/>
    </row>
    <row r="344">
      <c r="B344" s="25"/>
      <c r="C344" s="25"/>
      <c r="D344" s="14" t="s">
        <v>59</v>
      </c>
      <c r="E344" s="14">
        <v>2.0</v>
      </c>
      <c r="F344" s="17">
        <v>10000.0</v>
      </c>
      <c r="G344" s="25">
        <f t="shared" si="6"/>
        <v>20000</v>
      </c>
      <c r="H344" s="28"/>
      <c r="I344" s="25">
        <f t="shared" si="2"/>
        <v>2</v>
      </c>
      <c r="J344" s="35"/>
    </row>
    <row r="345">
      <c r="B345" s="25"/>
      <c r="C345" s="25"/>
      <c r="D345" s="14" t="s">
        <v>71</v>
      </c>
      <c r="E345" s="14">
        <v>1.0</v>
      </c>
      <c r="F345" s="17">
        <v>18000.0</v>
      </c>
      <c r="G345" s="25">
        <f t="shared" si="6"/>
        <v>18000</v>
      </c>
      <c r="H345" s="28"/>
      <c r="I345" s="25">
        <f t="shared" si="2"/>
        <v>1</v>
      </c>
      <c r="J345" s="13"/>
    </row>
    <row r="346">
      <c r="B346" s="9" t="s">
        <v>156</v>
      </c>
      <c r="C346" s="69">
        <v>45739.0</v>
      </c>
      <c r="D346" s="14" t="s">
        <v>60</v>
      </c>
      <c r="E346" s="14">
        <v>7.0</v>
      </c>
      <c r="F346" s="17">
        <v>15000.0</v>
      </c>
      <c r="G346" s="25">
        <f t="shared" si="6"/>
        <v>105000</v>
      </c>
      <c r="H346" s="28"/>
      <c r="I346" s="25">
        <f t="shared" si="2"/>
        <v>7</v>
      </c>
      <c r="J346" s="29">
        <f>SUM(I346:I356)</f>
        <v>25</v>
      </c>
    </row>
    <row r="347">
      <c r="B347" s="25"/>
      <c r="C347" s="25"/>
      <c r="D347" s="14" t="s">
        <v>77</v>
      </c>
      <c r="E347" s="14">
        <v>4.0</v>
      </c>
      <c r="F347" s="17">
        <v>15000.0</v>
      </c>
      <c r="G347" s="25">
        <f t="shared" si="6"/>
        <v>60000</v>
      </c>
      <c r="H347" s="28"/>
      <c r="I347" s="25">
        <f t="shared" si="2"/>
        <v>4</v>
      </c>
      <c r="J347" s="35"/>
    </row>
    <row r="348">
      <c r="B348" s="25"/>
      <c r="C348" s="25"/>
      <c r="D348" s="14" t="s">
        <v>56</v>
      </c>
      <c r="E348" s="14">
        <v>3.0</v>
      </c>
      <c r="F348" s="17">
        <v>15000.0</v>
      </c>
      <c r="G348" s="25">
        <f t="shared" si="6"/>
        <v>45000</v>
      </c>
      <c r="H348" s="28"/>
      <c r="I348" s="25">
        <f t="shared" si="2"/>
        <v>3</v>
      </c>
      <c r="J348" s="35"/>
    </row>
    <row r="349">
      <c r="B349" s="25"/>
      <c r="C349" s="25"/>
      <c r="D349" s="14" t="s">
        <v>101</v>
      </c>
      <c r="E349" s="14">
        <v>2.0</v>
      </c>
      <c r="F349" s="17">
        <v>13000.0</v>
      </c>
      <c r="G349" s="25">
        <f t="shared" si="6"/>
        <v>26000</v>
      </c>
      <c r="H349" s="28"/>
      <c r="I349" s="25">
        <f t="shared" si="2"/>
        <v>2</v>
      </c>
      <c r="J349" s="35"/>
    </row>
    <row r="350">
      <c r="B350" s="25"/>
      <c r="C350" s="25"/>
      <c r="D350" s="14" t="s">
        <v>102</v>
      </c>
      <c r="E350" s="14">
        <v>2.0</v>
      </c>
      <c r="F350" s="17">
        <v>25000.0</v>
      </c>
      <c r="G350" s="25">
        <f t="shared" si="6"/>
        <v>50000</v>
      </c>
      <c r="H350" s="28"/>
      <c r="I350" s="25">
        <f t="shared" si="2"/>
        <v>2</v>
      </c>
      <c r="J350" s="35"/>
    </row>
    <row r="351">
      <c r="B351" s="25"/>
      <c r="C351" s="25"/>
      <c r="D351" s="14" t="s">
        <v>76</v>
      </c>
      <c r="E351" s="14">
        <v>2.0</v>
      </c>
      <c r="F351" s="17">
        <v>10000.0</v>
      </c>
      <c r="G351" s="25">
        <f t="shared" si="6"/>
        <v>20000</v>
      </c>
      <c r="H351" s="28"/>
      <c r="I351" s="25">
        <f t="shared" si="2"/>
        <v>2</v>
      </c>
      <c r="J351" s="35"/>
    </row>
    <row r="352">
      <c r="B352" s="25"/>
      <c r="C352" s="25"/>
      <c r="D352" s="14" t="s">
        <v>107</v>
      </c>
      <c r="E352" s="14">
        <v>1.0</v>
      </c>
      <c r="F352" s="17">
        <v>18000.0</v>
      </c>
      <c r="G352" s="25">
        <f t="shared" si="6"/>
        <v>18000</v>
      </c>
      <c r="H352" s="28"/>
      <c r="I352" s="25">
        <f t="shared" si="2"/>
        <v>1</v>
      </c>
      <c r="J352" s="35"/>
    </row>
    <row r="353">
      <c r="B353" s="25"/>
      <c r="C353" s="25"/>
      <c r="D353" s="14" t="s">
        <v>69</v>
      </c>
      <c r="E353" s="14">
        <v>1.0</v>
      </c>
      <c r="F353" s="17">
        <v>13000.0</v>
      </c>
      <c r="G353" s="25">
        <f t="shared" si="6"/>
        <v>13000</v>
      </c>
      <c r="H353" s="28"/>
      <c r="I353" s="25">
        <f t="shared" si="2"/>
        <v>1</v>
      </c>
      <c r="J353" s="35"/>
    </row>
    <row r="354">
      <c r="B354" s="25"/>
      <c r="C354" s="25"/>
      <c r="D354" s="14" t="s">
        <v>72</v>
      </c>
      <c r="E354" s="14">
        <v>1.0</v>
      </c>
      <c r="F354" s="17">
        <v>13000.0</v>
      </c>
      <c r="G354" s="25">
        <f t="shared" si="6"/>
        <v>13000</v>
      </c>
      <c r="H354" s="28"/>
      <c r="I354" s="25">
        <f t="shared" si="2"/>
        <v>1</v>
      </c>
      <c r="J354" s="35"/>
    </row>
    <row r="355">
      <c r="B355" s="25"/>
      <c r="C355" s="25"/>
      <c r="D355" s="14" t="s">
        <v>104</v>
      </c>
      <c r="E355" s="14">
        <v>1.0</v>
      </c>
      <c r="F355" s="17">
        <v>25000.0</v>
      </c>
      <c r="G355" s="25">
        <f t="shared" si="6"/>
        <v>25000</v>
      </c>
      <c r="H355" s="28"/>
      <c r="I355" s="25">
        <f t="shared" si="2"/>
        <v>1</v>
      </c>
      <c r="J355" s="35"/>
    </row>
    <row r="356">
      <c r="B356" s="25"/>
      <c r="C356" s="25"/>
      <c r="D356" s="14" t="s">
        <v>65</v>
      </c>
      <c r="E356" s="14">
        <v>1.0</v>
      </c>
      <c r="F356" s="17">
        <v>13000.0</v>
      </c>
      <c r="G356" s="25">
        <f t="shared" si="6"/>
        <v>13000</v>
      </c>
      <c r="H356" s="28"/>
      <c r="I356" s="25">
        <f t="shared" si="2"/>
        <v>1</v>
      </c>
      <c r="J356" s="13"/>
    </row>
    <row r="357">
      <c r="B357" s="9" t="s">
        <v>159</v>
      </c>
      <c r="C357" s="69">
        <v>45740.0</v>
      </c>
      <c r="D357" s="14" t="s">
        <v>60</v>
      </c>
      <c r="E357" s="14">
        <v>6.0</v>
      </c>
      <c r="F357" s="17">
        <v>15000.0</v>
      </c>
      <c r="G357" s="25">
        <f t="shared" si="6"/>
        <v>90000</v>
      </c>
      <c r="H357" s="28"/>
      <c r="I357" s="25">
        <f t="shared" si="2"/>
        <v>6</v>
      </c>
      <c r="J357" s="29">
        <f>SUM(I357:I368)</f>
        <v>29</v>
      </c>
    </row>
    <row r="358">
      <c r="B358" s="25"/>
      <c r="C358" s="25"/>
      <c r="D358" s="14" t="s">
        <v>62</v>
      </c>
      <c r="E358" s="14">
        <v>4.0</v>
      </c>
      <c r="F358" s="17">
        <v>15000.0</v>
      </c>
      <c r="G358" s="25">
        <f t="shared" si="6"/>
        <v>60000</v>
      </c>
      <c r="H358" s="28"/>
      <c r="I358" s="25">
        <f t="shared" si="2"/>
        <v>4</v>
      </c>
      <c r="J358" s="35"/>
    </row>
    <row r="359">
      <c r="B359" s="25"/>
      <c r="C359" s="25"/>
      <c r="D359" s="14" t="s">
        <v>109</v>
      </c>
      <c r="E359" s="14">
        <v>3.0</v>
      </c>
      <c r="F359" s="17">
        <v>18000.0</v>
      </c>
      <c r="G359" s="25">
        <f t="shared" si="6"/>
        <v>54000</v>
      </c>
      <c r="H359" s="28"/>
      <c r="I359" s="25">
        <f t="shared" si="2"/>
        <v>3</v>
      </c>
      <c r="J359" s="35"/>
    </row>
    <row r="360">
      <c r="B360" s="25"/>
      <c r="C360" s="25"/>
      <c r="D360" s="14" t="s">
        <v>160</v>
      </c>
      <c r="E360" s="14">
        <v>3.0</v>
      </c>
      <c r="F360" s="17">
        <v>13000.0</v>
      </c>
      <c r="G360" s="25">
        <f t="shared" si="6"/>
        <v>39000</v>
      </c>
      <c r="H360" s="28"/>
      <c r="I360" s="25">
        <f t="shared" si="2"/>
        <v>3</v>
      </c>
      <c r="J360" s="35"/>
    </row>
    <row r="361">
      <c r="B361" s="25"/>
      <c r="C361" s="25"/>
      <c r="D361" s="14" t="s">
        <v>56</v>
      </c>
      <c r="E361" s="14">
        <v>2.0</v>
      </c>
      <c r="F361" s="17">
        <v>15000.0</v>
      </c>
      <c r="G361" s="25">
        <f t="shared" si="6"/>
        <v>30000</v>
      </c>
      <c r="H361" s="28"/>
      <c r="I361" s="25">
        <f t="shared" si="2"/>
        <v>2</v>
      </c>
      <c r="J361" s="35"/>
    </row>
    <row r="362">
      <c r="B362" s="25"/>
      <c r="C362" s="25"/>
      <c r="D362" s="14" t="s">
        <v>77</v>
      </c>
      <c r="E362" s="14">
        <v>2.0</v>
      </c>
      <c r="F362" s="17">
        <v>15000.0</v>
      </c>
      <c r="G362" s="25">
        <f t="shared" si="6"/>
        <v>30000</v>
      </c>
      <c r="H362" s="28"/>
      <c r="I362" s="25">
        <f t="shared" si="2"/>
        <v>2</v>
      </c>
      <c r="J362" s="35"/>
    </row>
    <row r="363">
      <c r="B363" s="25"/>
      <c r="C363" s="25"/>
      <c r="D363" s="14" t="s">
        <v>161</v>
      </c>
      <c r="E363" s="14">
        <v>2.0</v>
      </c>
      <c r="F363" s="17">
        <v>15000.0</v>
      </c>
      <c r="G363" s="25">
        <f t="shared" si="6"/>
        <v>30000</v>
      </c>
      <c r="H363" s="28"/>
      <c r="I363" s="25">
        <f t="shared" si="2"/>
        <v>2</v>
      </c>
      <c r="J363" s="35"/>
    </row>
    <row r="364">
      <c r="B364" s="25"/>
      <c r="C364" s="25"/>
      <c r="D364" s="14" t="s">
        <v>69</v>
      </c>
      <c r="E364" s="14">
        <v>2.0</v>
      </c>
      <c r="F364" s="17">
        <v>13000.0</v>
      </c>
      <c r="G364" s="25">
        <f t="shared" si="6"/>
        <v>26000</v>
      </c>
      <c r="H364" s="28"/>
      <c r="I364" s="25">
        <f t="shared" si="2"/>
        <v>2</v>
      </c>
      <c r="J364" s="35"/>
    </row>
    <row r="365">
      <c r="B365" s="25"/>
      <c r="C365" s="25"/>
      <c r="D365" s="14" t="s">
        <v>76</v>
      </c>
      <c r="E365" s="14">
        <v>2.0</v>
      </c>
      <c r="F365" s="17">
        <v>10000.0</v>
      </c>
      <c r="G365" s="25">
        <f t="shared" si="6"/>
        <v>20000</v>
      </c>
      <c r="H365" s="28"/>
      <c r="I365" s="25">
        <f t="shared" si="2"/>
        <v>2</v>
      </c>
      <c r="J365" s="35"/>
    </row>
    <row r="366">
      <c r="B366" s="25"/>
      <c r="C366" s="25"/>
      <c r="D366" s="14" t="s">
        <v>162</v>
      </c>
      <c r="E366" s="14">
        <v>1.0</v>
      </c>
      <c r="F366" s="17">
        <v>25000.0</v>
      </c>
      <c r="G366" s="25">
        <f t="shared" si="6"/>
        <v>25000</v>
      </c>
      <c r="H366" s="28"/>
      <c r="I366" s="25">
        <f t="shared" si="2"/>
        <v>1</v>
      </c>
      <c r="J366" s="35"/>
    </row>
    <row r="367">
      <c r="B367" s="25"/>
      <c r="C367" s="25"/>
      <c r="D367" s="14" t="s">
        <v>101</v>
      </c>
      <c r="E367" s="14">
        <v>1.0</v>
      </c>
      <c r="F367" s="17">
        <v>13000.0</v>
      </c>
      <c r="G367" s="25">
        <f t="shared" si="6"/>
        <v>13000</v>
      </c>
      <c r="H367" s="28"/>
      <c r="I367" s="25">
        <f t="shared" si="2"/>
        <v>1</v>
      </c>
      <c r="J367" s="35"/>
    </row>
    <row r="368">
      <c r="B368" s="25"/>
      <c r="C368" s="25"/>
      <c r="D368" s="14" t="s">
        <v>163</v>
      </c>
      <c r="E368" s="14">
        <v>1.0</v>
      </c>
      <c r="F368" s="17">
        <v>15000.0</v>
      </c>
      <c r="G368" s="25">
        <f t="shared" si="6"/>
        <v>15000</v>
      </c>
      <c r="H368" s="28"/>
      <c r="I368" s="25">
        <f t="shared" si="2"/>
        <v>1</v>
      </c>
      <c r="J368" s="13"/>
    </row>
    <row r="369">
      <c r="B369" s="9" t="s">
        <v>164</v>
      </c>
      <c r="C369" s="69">
        <v>45741.0</v>
      </c>
      <c r="D369" s="14" t="s">
        <v>109</v>
      </c>
      <c r="E369" s="14">
        <v>13.0</v>
      </c>
      <c r="F369" s="17">
        <v>18000.0</v>
      </c>
      <c r="G369" s="25">
        <f t="shared" si="6"/>
        <v>234000</v>
      </c>
      <c r="H369" s="28"/>
      <c r="I369" s="25">
        <f t="shared" si="2"/>
        <v>13</v>
      </c>
      <c r="J369" s="29">
        <f>SUM(I369:I378)</f>
        <v>29</v>
      </c>
    </row>
    <row r="370">
      <c r="B370" s="25"/>
      <c r="C370" s="25"/>
      <c r="D370" s="14" t="s">
        <v>162</v>
      </c>
      <c r="E370" s="14">
        <v>4.0</v>
      </c>
      <c r="F370" s="17">
        <v>25000.0</v>
      </c>
      <c r="G370" s="25">
        <f t="shared" si="6"/>
        <v>100000</v>
      </c>
      <c r="H370" s="28"/>
      <c r="I370" s="25">
        <f t="shared" si="2"/>
        <v>4</v>
      </c>
      <c r="J370" s="35"/>
    </row>
    <row r="371">
      <c r="B371" s="25"/>
      <c r="C371" s="25"/>
      <c r="D371" s="14" t="s">
        <v>69</v>
      </c>
      <c r="E371" s="14">
        <v>3.0</v>
      </c>
      <c r="F371" s="17">
        <v>13000.0</v>
      </c>
      <c r="G371" s="25">
        <f t="shared" si="6"/>
        <v>39000</v>
      </c>
      <c r="H371" s="28"/>
      <c r="I371" s="25">
        <f t="shared" si="2"/>
        <v>3</v>
      </c>
      <c r="J371" s="35"/>
    </row>
    <row r="372">
      <c r="B372" s="25"/>
      <c r="C372" s="25"/>
      <c r="D372" s="14" t="s">
        <v>165</v>
      </c>
      <c r="E372" s="14">
        <v>2.0</v>
      </c>
      <c r="F372" s="17">
        <v>35000.0</v>
      </c>
      <c r="G372" s="25">
        <f t="shared" si="6"/>
        <v>70000</v>
      </c>
      <c r="H372" s="28"/>
      <c r="I372" s="25">
        <f t="shared" si="2"/>
        <v>2</v>
      </c>
      <c r="J372" s="35"/>
    </row>
    <row r="373">
      <c r="B373" s="25"/>
      <c r="C373" s="25"/>
      <c r="D373" s="14" t="s">
        <v>166</v>
      </c>
      <c r="E373" s="14">
        <v>2.0</v>
      </c>
      <c r="F373" s="17">
        <v>13000.0</v>
      </c>
      <c r="G373" s="25">
        <f t="shared" si="6"/>
        <v>26000</v>
      </c>
      <c r="H373" s="28"/>
      <c r="I373" s="25">
        <f t="shared" si="2"/>
        <v>2</v>
      </c>
      <c r="J373" s="35"/>
    </row>
    <row r="374">
      <c r="B374" s="25"/>
      <c r="C374" s="25"/>
      <c r="D374" s="14" t="s">
        <v>107</v>
      </c>
      <c r="E374" s="14">
        <v>1.0</v>
      </c>
      <c r="F374" s="17">
        <v>18000.0</v>
      </c>
      <c r="G374" s="25">
        <f t="shared" si="6"/>
        <v>18000</v>
      </c>
      <c r="H374" s="28"/>
      <c r="I374" s="25">
        <f t="shared" si="2"/>
        <v>1</v>
      </c>
      <c r="J374" s="35"/>
    </row>
    <row r="375">
      <c r="B375" s="25"/>
      <c r="C375" s="25"/>
      <c r="D375" s="14" t="s">
        <v>101</v>
      </c>
      <c r="E375" s="14">
        <v>1.0</v>
      </c>
      <c r="F375" s="17">
        <v>13000.0</v>
      </c>
      <c r="G375" s="25">
        <f t="shared" si="6"/>
        <v>13000</v>
      </c>
      <c r="H375" s="28"/>
      <c r="I375" s="25">
        <f t="shared" si="2"/>
        <v>1</v>
      </c>
      <c r="J375" s="35"/>
    </row>
    <row r="376">
      <c r="B376" s="25"/>
      <c r="C376" s="25"/>
      <c r="D376" s="14" t="s">
        <v>160</v>
      </c>
      <c r="E376" s="14">
        <v>1.0</v>
      </c>
      <c r="F376" s="17">
        <v>13000.0</v>
      </c>
      <c r="G376" s="25">
        <f t="shared" si="6"/>
        <v>13000</v>
      </c>
      <c r="H376" s="28"/>
      <c r="I376" s="25">
        <f t="shared" si="2"/>
        <v>1</v>
      </c>
      <c r="J376" s="35"/>
    </row>
    <row r="377">
      <c r="B377" s="25"/>
      <c r="C377" s="25"/>
      <c r="D377" s="14" t="s">
        <v>76</v>
      </c>
      <c r="E377" s="14">
        <v>1.0</v>
      </c>
      <c r="F377" s="17">
        <v>10000.0</v>
      </c>
      <c r="G377" s="25">
        <f t="shared" si="6"/>
        <v>10000</v>
      </c>
      <c r="H377" s="28"/>
      <c r="I377" s="25">
        <f t="shared" si="2"/>
        <v>1</v>
      </c>
      <c r="J377" s="35"/>
    </row>
    <row r="378">
      <c r="B378" s="25"/>
      <c r="C378" s="25"/>
      <c r="D378" s="14" t="s">
        <v>161</v>
      </c>
      <c r="E378" s="14">
        <v>1.0</v>
      </c>
      <c r="F378" s="17">
        <v>15000.0</v>
      </c>
      <c r="G378" s="25">
        <f t="shared" si="6"/>
        <v>15000</v>
      </c>
      <c r="H378" s="28"/>
      <c r="I378" s="25">
        <f t="shared" si="2"/>
        <v>1</v>
      </c>
      <c r="J378" s="13"/>
    </row>
    <row r="379">
      <c r="B379" s="9">
        <v>25.0</v>
      </c>
      <c r="C379" s="69">
        <v>45742.0</v>
      </c>
      <c r="D379" s="14" t="s">
        <v>76</v>
      </c>
      <c r="E379" s="14">
        <v>4.0</v>
      </c>
      <c r="F379" s="17">
        <v>10000.0</v>
      </c>
      <c r="G379" s="25">
        <f t="shared" si="6"/>
        <v>40000</v>
      </c>
      <c r="H379" s="28"/>
      <c r="I379" s="25">
        <f t="shared" si="2"/>
        <v>4</v>
      </c>
      <c r="J379" s="29">
        <f>SUM(I379:I386)</f>
        <v>13</v>
      </c>
    </row>
    <row r="380">
      <c r="B380" s="25"/>
      <c r="C380" s="25"/>
      <c r="D380" s="14" t="s">
        <v>162</v>
      </c>
      <c r="E380" s="14">
        <v>2.0</v>
      </c>
      <c r="F380" s="17">
        <v>25000.0</v>
      </c>
      <c r="G380" s="25">
        <f t="shared" si="6"/>
        <v>50000</v>
      </c>
      <c r="H380" s="28"/>
      <c r="I380" s="25">
        <f t="shared" si="2"/>
        <v>2</v>
      </c>
      <c r="J380" s="35"/>
    </row>
    <row r="381">
      <c r="B381" s="25"/>
      <c r="C381" s="25"/>
      <c r="D381" s="14" t="s">
        <v>107</v>
      </c>
      <c r="E381" s="14">
        <v>2.0</v>
      </c>
      <c r="F381" s="17">
        <v>18000.0</v>
      </c>
      <c r="G381" s="25">
        <f t="shared" si="6"/>
        <v>36000</v>
      </c>
      <c r="H381" s="28"/>
      <c r="I381" s="25">
        <f t="shared" si="2"/>
        <v>2</v>
      </c>
      <c r="J381" s="35"/>
    </row>
    <row r="382">
      <c r="B382" s="25"/>
      <c r="C382" s="25"/>
      <c r="D382" s="14" t="s">
        <v>160</v>
      </c>
      <c r="E382" s="14">
        <v>1.0</v>
      </c>
      <c r="F382" s="17">
        <v>13000.0</v>
      </c>
      <c r="G382" s="25">
        <f t="shared" si="6"/>
        <v>13000</v>
      </c>
      <c r="H382" s="28"/>
      <c r="I382" s="25">
        <f t="shared" si="2"/>
        <v>1</v>
      </c>
      <c r="J382" s="35"/>
    </row>
    <row r="383">
      <c r="B383" s="25"/>
      <c r="C383" s="25"/>
      <c r="D383" s="14" t="s">
        <v>101</v>
      </c>
      <c r="E383" s="14">
        <v>1.0</v>
      </c>
      <c r="F383" s="17">
        <v>13000.0</v>
      </c>
      <c r="G383" s="25">
        <f t="shared" si="6"/>
        <v>13000</v>
      </c>
      <c r="H383" s="28"/>
      <c r="I383" s="25">
        <f t="shared" si="2"/>
        <v>1</v>
      </c>
      <c r="J383" s="35"/>
    </row>
    <row r="384">
      <c r="B384" s="25"/>
      <c r="C384" s="25"/>
      <c r="D384" s="14" t="s">
        <v>56</v>
      </c>
      <c r="E384" s="14">
        <v>1.0</v>
      </c>
      <c r="F384" s="17">
        <v>15000.0</v>
      </c>
      <c r="G384" s="25">
        <f t="shared" si="6"/>
        <v>15000</v>
      </c>
      <c r="H384" s="28"/>
      <c r="I384" s="25">
        <f t="shared" si="2"/>
        <v>1</v>
      </c>
      <c r="J384" s="35"/>
    </row>
    <row r="385">
      <c r="B385" s="25"/>
      <c r="C385" s="25"/>
      <c r="D385" s="14" t="s">
        <v>77</v>
      </c>
      <c r="E385" s="14">
        <v>1.0</v>
      </c>
      <c r="F385" s="17">
        <v>15000.0</v>
      </c>
      <c r="G385" s="25">
        <f t="shared" si="6"/>
        <v>15000</v>
      </c>
      <c r="H385" s="28"/>
      <c r="I385" s="25">
        <f t="shared" si="2"/>
        <v>1</v>
      </c>
      <c r="J385" s="35"/>
    </row>
    <row r="386">
      <c r="B386" s="25"/>
      <c r="C386" s="25"/>
      <c r="D386" s="14" t="s">
        <v>60</v>
      </c>
      <c r="E386" s="14">
        <v>1.0</v>
      </c>
      <c r="F386" s="17">
        <v>15000.0</v>
      </c>
      <c r="G386" s="25">
        <f t="shared" si="6"/>
        <v>15000</v>
      </c>
      <c r="H386" s="28"/>
      <c r="I386" s="25">
        <f t="shared" si="2"/>
        <v>1</v>
      </c>
      <c r="J386" s="13"/>
    </row>
    <row r="387">
      <c r="B387" s="62"/>
      <c r="C387" s="62"/>
      <c r="D387" s="62"/>
      <c r="E387" s="62"/>
      <c r="F387" s="62"/>
      <c r="G387" s="62"/>
      <c r="H387" s="62"/>
      <c r="I387" s="62"/>
    </row>
    <row r="388">
      <c r="B388" s="62"/>
      <c r="C388" s="62"/>
      <c r="D388" s="62"/>
      <c r="E388" s="62"/>
      <c r="F388" s="62"/>
      <c r="G388" s="62"/>
      <c r="H388" s="62"/>
      <c r="I388" s="62"/>
    </row>
    <row r="389">
      <c r="B389" s="62"/>
      <c r="C389" s="62"/>
      <c r="D389" s="62"/>
      <c r="E389" s="62"/>
      <c r="F389" s="62"/>
      <c r="G389" s="62"/>
      <c r="H389" s="62"/>
      <c r="I389" s="62"/>
    </row>
    <row r="390">
      <c r="B390" s="62"/>
      <c r="C390" s="62"/>
      <c r="D390" s="62"/>
      <c r="E390" s="62"/>
      <c r="F390" s="62"/>
      <c r="G390" s="62"/>
      <c r="H390" s="62"/>
      <c r="I390" s="62"/>
    </row>
    <row r="391">
      <c r="B391" s="62"/>
      <c r="C391" s="62"/>
      <c r="D391" s="62"/>
      <c r="E391" s="62"/>
      <c r="F391" s="62"/>
      <c r="G391" s="62"/>
      <c r="H391" s="62"/>
      <c r="I391" s="62"/>
    </row>
    <row r="392">
      <c r="B392" s="62"/>
      <c r="C392" s="62"/>
      <c r="D392" s="62"/>
      <c r="E392" s="62"/>
      <c r="F392" s="62"/>
      <c r="G392" s="62"/>
      <c r="H392" s="62"/>
      <c r="I392" s="62"/>
    </row>
    <row r="393">
      <c r="B393" s="62"/>
      <c r="C393" s="62"/>
      <c r="D393" s="62"/>
      <c r="E393" s="62"/>
      <c r="F393" s="62"/>
      <c r="G393" s="62"/>
      <c r="H393" s="62"/>
      <c r="I393" s="62"/>
    </row>
    <row r="394">
      <c r="B394" s="62"/>
      <c r="C394" s="62"/>
      <c r="D394" s="62"/>
      <c r="E394" s="62"/>
      <c r="F394" s="62"/>
      <c r="G394" s="62"/>
      <c r="H394" s="62"/>
      <c r="I394" s="62"/>
    </row>
    <row r="395">
      <c r="B395" s="62"/>
      <c r="C395" s="62"/>
      <c r="D395" s="62"/>
      <c r="E395" s="62"/>
      <c r="F395" s="62"/>
      <c r="G395" s="62"/>
      <c r="H395" s="62"/>
      <c r="I395" s="62"/>
    </row>
    <row r="396">
      <c r="B396" s="62"/>
      <c r="C396" s="62"/>
      <c r="D396" s="62"/>
      <c r="E396" s="62"/>
      <c r="F396" s="62"/>
      <c r="G396" s="62"/>
      <c r="H396" s="62"/>
      <c r="I396" s="62"/>
    </row>
    <row r="397">
      <c r="B397" s="62"/>
      <c r="C397" s="62"/>
      <c r="D397" s="62"/>
      <c r="E397" s="62"/>
      <c r="F397" s="62"/>
      <c r="G397" s="62"/>
      <c r="H397" s="62"/>
      <c r="I397" s="62"/>
    </row>
    <row r="398">
      <c r="B398" s="62"/>
      <c r="C398" s="62"/>
      <c r="D398" s="62"/>
      <c r="E398" s="62"/>
      <c r="F398" s="62"/>
      <c r="G398" s="62"/>
      <c r="H398" s="62"/>
      <c r="I398" s="62"/>
    </row>
    <row r="399">
      <c r="B399" s="62"/>
      <c r="C399" s="62"/>
      <c r="D399" s="62"/>
      <c r="E399" s="62"/>
      <c r="F399" s="62"/>
      <c r="G399" s="62"/>
      <c r="H399" s="62"/>
      <c r="I399" s="62"/>
    </row>
    <row r="400">
      <c r="B400" s="62"/>
      <c r="C400" s="62"/>
      <c r="D400" s="62"/>
      <c r="E400" s="62"/>
      <c r="F400" s="62"/>
      <c r="G400" s="62"/>
      <c r="H400" s="62"/>
      <c r="I400" s="62"/>
    </row>
    <row r="401">
      <c r="B401" s="62"/>
      <c r="C401" s="62"/>
      <c r="D401" s="62"/>
      <c r="E401" s="62"/>
      <c r="F401" s="62"/>
      <c r="G401" s="62"/>
      <c r="H401" s="62"/>
      <c r="I401" s="62"/>
    </row>
    <row r="402">
      <c r="B402" s="62"/>
      <c r="C402" s="62"/>
      <c r="D402" s="62"/>
      <c r="E402" s="62"/>
      <c r="F402" s="62"/>
      <c r="G402" s="62"/>
      <c r="H402" s="62"/>
      <c r="I402" s="62"/>
    </row>
    <row r="403">
      <c r="B403" s="62"/>
      <c r="C403" s="62"/>
      <c r="D403" s="62"/>
      <c r="E403" s="62"/>
      <c r="F403" s="62"/>
      <c r="G403" s="62"/>
      <c r="H403" s="62"/>
      <c r="I403" s="62"/>
    </row>
    <row r="404">
      <c r="B404" s="62"/>
      <c r="C404" s="62"/>
      <c r="D404" s="62"/>
      <c r="E404" s="62"/>
      <c r="F404" s="62"/>
      <c r="G404" s="62"/>
      <c r="H404" s="62"/>
      <c r="I404" s="62"/>
    </row>
    <row r="405">
      <c r="B405" s="62"/>
      <c r="C405" s="62"/>
      <c r="D405" s="62"/>
      <c r="E405" s="62"/>
      <c r="F405" s="62"/>
      <c r="G405" s="62"/>
      <c r="H405" s="62"/>
      <c r="I405" s="62"/>
    </row>
  </sheetData>
  <mergeCells count="25">
    <mergeCell ref="J3:J17"/>
    <mergeCell ref="J18:J35"/>
    <mergeCell ref="J36:J57"/>
    <mergeCell ref="J58:J77"/>
    <mergeCell ref="J78:J94"/>
    <mergeCell ref="J95:J110"/>
    <mergeCell ref="J111:J127"/>
    <mergeCell ref="J128:J145"/>
    <mergeCell ref="J146:J163"/>
    <mergeCell ref="J164:J179"/>
    <mergeCell ref="J180:J191"/>
    <mergeCell ref="J192:J208"/>
    <mergeCell ref="J209:J226"/>
    <mergeCell ref="J227:J241"/>
    <mergeCell ref="J346:J356"/>
    <mergeCell ref="J357:J368"/>
    <mergeCell ref="J369:J378"/>
    <mergeCell ref="J379:J386"/>
    <mergeCell ref="J242:J256"/>
    <mergeCell ref="J257:J271"/>
    <mergeCell ref="J272:J286"/>
    <mergeCell ref="J287:J299"/>
    <mergeCell ref="J300:J314"/>
    <mergeCell ref="J315:J331"/>
    <mergeCell ref="J332:J3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43"/>
    <col customWidth="1" min="3" max="3" width="18.86"/>
    <col customWidth="1" min="4" max="4" width="17.57"/>
    <col customWidth="1" min="9" max="9" width="14.86"/>
    <col customWidth="1" min="10" max="10" width="20.71"/>
    <col customWidth="1" min="15" max="15" width="17.0"/>
    <col customWidth="1" min="20" max="20" width="19.0"/>
  </cols>
  <sheetData>
    <row r="1">
      <c r="D1" s="1" t="s">
        <v>167</v>
      </c>
    </row>
    <row r="2">
      <c r="L2" s="88" t="s">
        <v>18</v>
      </c>
      <c r="M2" s="89">
        <v>1000.0</v>
      </c>
    </row>
    <row r="3">
      <c r="B3" s="3" t="s">
        <v>1</v>
      </c>
      <c r="C3" s="3" t="s">
        <v>4</v>
      </c>
      <c r="D3" s="3" t="s">
        <v>5</v>
      </c>
      <c r="E3" s="3" t="s">
        <v>7</v>
      </c>
      <c r="F3" s="3" t="s">
        <v>8</v>
      </c>
      <c r="G3" s="3" t="s">
        <v>9</v>
      </c>
      <c r="H3" s="9" t="s">
        <v>11</v>
      </c>
      <c r="I3" s="3" t="s">
        <v>12</v>
      </c>
      <c r="J3" s="3" t="s">
        <v>13</v>
      </c>
      <c r="L3" s="88" t="s">
        <v>48</v>
      </c>
      <c r="M3" s="90">
        <v>500.0</v>
      </c>
      <c r="O3" s="9" t="s">
        <v>49</v>
      </c>
      <c r="P3" s="9" t="s">
        <v>50</v>
      </c>
      <c r="Q3" s="9" t="s">
        <v>51</v>
      </c>
      <c r="R3" s="9" t="s">
        <v>9</v>
      </c>
      <c r="T3" s="57" t="s">
        <v>168</v>
      </c>
    </row>
    <row r="4">
      <c r="B4" s="9" t="s">
        <v>14</v>
      </c>
      <c r="C4" s="91" t="s">
        <v>169</v>
      </c>
      <c r="D4" s="14" t="s">
        <v>17</v>
      </c>
      <c r="E4" s="14">
        <v>15.0</v>
      </c>
      <c r="F4" s="17">
        <v>18000.0</v>
      </c>
      <c r="G4" s="25">
        <f t="shared" ref="G4:G89" si="1">E4*F4</f>
        <v>270000</v>
      </c>
      <c r="H4" s="25"/>
      <c r="I4" s="25">
        <f t="shared" ref="I4:I137" si="2">E4-H4</f>
        <v>15</v>
      </c>
      <c r="J4" s="29">
        <f>SUM(I4:I16)</f>
        <v>47</v>
      </c>
      <c r="O4" s="14" t="s">
        <v>170</v>
      </c>
      <c r="P4" s="25">
        <f>J4*M2</f>
        <v>47000</v>
      </c>
      <c r="Q4" s="25"/>
      <c r="R4" s="25">
        <f t="shared" ref="R4:R10" si="3">SUM(P4:Q4)</f>
        <v>47000</v>
      </c>
      <c r="T4" s="92" t="s">
        <v>171</v>
      </c>
      <c r="U4" s="93">
        <f>sum(R4:R5)</f>
        <v>213000</v>
      </c>
    </row>
    <row r="5">
      <c r="B5" s="25"/>
      <c r="C5" s="25"/>
      <c r="D5" s="14" t="s">
        <v>69</v>
      </c>
      <c r="E5" s="14">
        <v>6.0</v>
      </c>
      <c r="F5" s="17">
        <v>13000.0</v>
      </c>
      <c r="G5" s="25">
        <f t="shared" si="1"/>
        <v>78000</v>
      </c>
      <c r="H5" s="25"/>
      <c r="I5" s="25">
        <f t="shared" si="2"/>
        <v>6</v>
      </c>
      <c r="J5" s="35"/>
      <c r="O5" s="14" t="s">
        <v>172</v>
      </c>
      <c r="P5" s="25">
        <f>M2*J17</f>
        <v>166000</v>
      </c>
      <c r="Q5" s="25"/>
      <c r="R5" s="25">
        <f t="shared" si="3"/>
        <v>166000</v>
      </c>
      <c r="T5" s="92" t="s">
        <v>173</v>
      </c>
      <c r="U5" s="93">
        <f>sum(R6:R7)</f>
        <v>386000</v>
      </c>
    </row>
    <row r="6">
      <c r="B6" s="25"/>
      <c r="C6" s="25"/>
      <c r="D6" s="14" t="s">
        <v>56</v>
      </c>
      <c r="E6" s="14">
        <v>5.0</v>
      </c>
      <c r="F6" s="17">
        <v>15000.0</v>
      </c>
      <c r="G6" s="25">
        <f t="shared" si="1"/>
        <v>75000</v>
      </c>
      <c r="H6" s="25"/>
      <c r="I6" s="25">
        <f t="shared" si="2"/>
        <v>5</v>
      </c>
      <c r="J6" s="35"/>
      <c r="O6" s="14" t="s">
        <v>174</v>
      </c>
      <c r="P6" s="25">
        <f>M2*J36</f>
        <v>204000</v>
      </c>
      <c r="Q6" s="25"/>
      <c r="R6" s="25">
        <f t="shared" si="3"/>
        <v>204000</v>
      </c>
      <c r="T6" s="92" t="s">
        <v>175</v>
      </c>
      <c r="U6" s="93">
        <f>sum(R8:R9)</f>
        <v>420000</v>
      </c>
    </row>
    <row r="7">
      <c r="B7" s="25"/>
      <c r="C7" s="25"/>
      <c r="D7" s="14" t="s">
        <v>60</v>
      </c>
      <c r="E7" s="14">
        <v>4.0</v>
      </c>
      <c r="F7" s="17">
        <v>15000.0</v>
      </c>
      <c r="G7" s="25">
        <f t="shared" si="1"/>
        <v>60000</v>
      </c>
      <c r="H7" s="25"/>
      <c r="I7" s="25">
        <f t="shared" si="2"/>
        <v>4</v>
      </c>
      <c r="J7" s="35"/>
      <c r="O7" s="14" t="s">
        <v>176</v>
      </c>
      <c r="P7" s="25">
        <f>M2*J55</f>
        <v>182000</v>
      </c>
      <c r="Q7" s="25"/>
      <c r="R7" s="25">
        <f t="shared" si="3"/>
        <v>182000</v>
      </c>
      <c r="T7" s="92" t="s">
        <v>177</v>
      </c>
      <c r="U7" s="93">
        <f>R10</f>
        <v>173000</v>
      </c>
    </row>
    <row r="8">
      <c r="B8" s="25"/>
      <c r="C8" s="25"/>
      <c r="D8" s="14" t="s">
        <v>77</v>
      </c>
      <c r="E8" s="14">
        <v>3.0</v>
      </c>
      <c r="F8" s="17">
        <v>15000.0</v>
      </c>
      <c r="G8" s="25">
        <f t="shared" si="1"/>
        <v>45000</v>
      </c>
      <c r="H8" s="25"/>
      <c r="I8" s="25">
        <f t="shared" si="2"/>
        <v>3</v>
      </c>
      <c r="J8" s="35"/>
      <c r="O8" s="14" t="s">
        <v>178</v>
      </c>
      <c r="P8" s="25">
        <f>M2*J77</f>
        <v>250000</v>
      </c>
      <c r="Q8" s="25"/>
      <c r="R8" s="25">
        <f t="shared" si="3"/>
        <v>250000</v>
      </c>
    </row>
    <row r="9">
      <c r="B9" s="25"/>
      <c r="C9" s="25"/>
      <c r="D9" s="14" t="s">
        <v>101</v>
      </c>
      <c r="E9" s="14">
        <v>3.0</v>
      </c>
      <c r="F9" s="17">
        <v>13000.0</v>
      </c>
      <c r="G9" s="25">
        <f t="shared" si="1"/>
        <v>39000</v>
      </c>
      <c r="H9" s="25"/>
      <c r="I9" s="25">
        <f t="shared" si="2"/>
        <v>3</v>
      </c>
      <c r="J9" s="35"/>
      <c r="O9" s="14" t="s">
        <v>179</v>
      </c>
      <c r="P9" s="25">
        <f>M2*J99</f>
        <v>170000</v>
      </c>
      <c r="Q9" s="25"/>
      <c r="R9" s="25">
        <f t="shared" si="3"/>
        <v>170000</v>
      </c>
    </row>
    <row r="10">
      <c r="B10" s="25"/>
      <c r="C10" s="25"/>
      <c r="D10" s="14" t="s">
        <v>53</v>
      </c>
      <c r="E10" s="14">
        <v>2.0</v>
      </c>
      <c r="F10" s="17">
        <v>15000.0</v>
      </c>
      <c r="G10" s="25">
        <f t="shared" si="1"/>
        <v>30000</v>
      </c>
      <c r="H10" s="25"/>
      <c r="I10" s="25">
        <f t="shared" si="2"/>
        <v>2</v>
      </c>
      <c r="J10" s="35"/>
      <c r="O10" s="14" t="s">
        <v>180</v>
      </c>
      <c r="P10" s="25">
        <f>M2*J119</f>
        <v>173000</v>
      </c>
      <c r="Q10" s="25"/>
      <c r="R10" s="25">
        <f t="shared" si="3"/>
        <v>173000</v>
      </c>
    </row>
    <row r="11">
      <c r="B11" s="25"/>
      <c r="C11" s="25"/>
      <c r="D11" s="14">
        <v>1.0</v>
      </c>
      <c r="E11" s="14">
        <v>2.0</v>
      </c>
      <c r="F11" s="17">
        <v>18000.0</v>
      </c>
      <c r="G11" s="25">
        <f t="shared" si="1"/>
        <v>36000</v>
      </c>
      <c r="H11" s="25"/>
      <c r="I11" s="25">
        <f t="shared" si="2"/>
        <v>2</v>
      </c>
      <c r="J11" s="35"/>
      <c r="O11" s="25"/>
      <c r="P11" s="25"/>
      <c r="Q11" s="25"/>
      <c r="R11" s="25"/>
    </row>
    <row r="12">
      <c r="B12" s="25"/>
      <c r="C12" s="25"/>
      <c r="D12" s="14" t="s">
        <v>62</v>
      </c>
      <c r="E12" s="14">
        <v>2.0</v>
      </c>
      <c r="F12" s="17">
        <v>15000.0</v>
      </c>
      <c r="G12" s="25">
        <f t="shared" si="1"/>
        <v>30000</v>
      </c>
      <c r="H12" s="25"/>
      <c r="I12" s="25">
        <f t="shared" si="2"/>
        <v>2</v>
      </c>
      <c r="J12" s="35"/>
      <c r="M12" s="8"/>
      <c r="N12" s="1"/>
      <c r="O12" s="14"/>
      <c r="P12" s="17"/>
      <c r="Q12" s="25"/>
      <c r="R12" s="25"/>
      <c r="S12" s="94"/>
    </row>
    <row r="13">
      <c r="B13" s="25"/>
      <c r="C13" s="25"/>
      <c r="D13" s="14" t="s">
        <v>106</v>
      </c>
      <c r="E13" s="14">
        <v>2.0</v>
      </c>
      <c r="F13" s="17">
        <v>18000.0</v>
      </c>
      <c r="G13" s="25">
        <f t="shared" si="1"/>
        <v>36000</v>
      </c>
      <c r="H13" s="25"/>
      <c r="I13" s="25">
        <f t="shared" si="2"/>
        <v>2</v>
      </c>
      <c r="J13" s="35"/>
      <c r="M13" s="62"/>
      <c r="N13" s="1"/>
      <c r="O13" s="1"/>
      <c r="P13" s="34"/>
      <c r="Q13" s="62"/>
      <c r="R13" s="62"/>
      <c r="S13" s="94"/>
    </row>
    <row r="14">
      <c r="B14" s="25"/>
      <c r="C14" s="25"/>
      <c r="D14" s="14" t="s">
        <v>71</v>
      </c>
      <c r="E14" s="14">
        <v>1.0</v>
      </c>
      <c r="F14" s="17">
        <v>18000.0</v>
      </c>
      <c r="G14" s="25">
        <f t="shared" si="1"/>
        <v>18000</v>
      </c>
      <c r="H14" s="25"/>
      <c r="I14" s="25">
        <f t="shared" si="2"/>
        <v>1</v>
      </c>
      <c r="J14" s="35"/>
      <c r="M14" s="62"/>
      <c r="N14" s="1"/>
      <c r="O14" s="1"/>
      <c r="P14" s="34"/>
      <c r="Q14" s="62"/>
      <c r="R14" s="62"/>
      <c r="S14" s="94"/>
    </row>
    <row r="15">
      <c r="B15" s="25"/>
      <c r="C15" s="25"/>
      <c r="D15" s="14" t="s">
        <v>181</v>
      </c>
      <c r="E15" s="14">
        <v>1.0</v>
      </c>
      <c r="F15" s="17">
        <v>10000.0</v>
      </c>
      <c r="G15" s="25">
        <f t="shared" si="1"/>
        <v>10000</v>
      </c>
      <c r="H15" s="25"/>
      <c r="I15" s="25">
        <f t="shared" si="2"/>
        <v>1</v>
      </c>
      <c r="J15" s="35"/>
      <c r="M15" s="62"/>
      <c r="N15" s="1"/>
      <c r="O15" s="34"/>
      <c r="P15" s="34"/>
      <c r="Q15" s="62"/>
      <c r="R15" s="62"/>
      <c r="S15" s="94"/>
    </row>
    <row r="16">
      <c r="B16" s="25"/>
      <c r="C16" s="25"/>
      <c r="D16" s="14" t="s">
        <v>68</v>
      </c>
      <c r="E16" s="14">
        <v>1.0</v>
      </c>
      <c r="F16" s="17">
        <v>13000.0</v>
      </c>
      <c r="G16" s="25">
        <f t="shared" si="1"/>
        <v>13000</v>
      </c>
      <c r="H16" s="25"/>
      <c r="I16" s="25">
        <f t="shared" si="2"/>
        <v>1</v>
      </c>
      <c r="J16" s="13"/>
      <c r="M16" s="62"/>
      <c r="N16" s="1"/>
      <c r="O16" s="1"/>
      <c r="P16" s="62"/>
      <c r="Q16" s="62"/>
      <c r="R16" s="62"/>
      <c r="S16" s="94"/>
    </row>
    <row r="17">
      <c r="B17" s="9" t="s">
        <v>182</v>
      </c>
      <c r="C17" s="91" t="s">
        <v>183</v>
      </c>
      <c r="D17" s="14" t="s">
        <v>60</v>
      </c>
      <c r="E17" s="14">
        <v>22.0</v>
      </c>
      <c r="F17" s="17">
        <v>15000.0</v>
      </c>
      <c r="G17" s="25">
        <f t="shared" si="1"/>
        <v>330000</v>
      </c>
      <c r="H17" s="25"/>
      <c r="I17" s="25">
        <f t="shared" si="2"/>
        <v>22</v>
      </c>
      <c r="J17" s="29">
        <f>sum(I17:I35)</f>
        <v>166</v>
      </c>
      <c r="M17" s="62"/>
      <c r="N17" s="1"/>
      <c r="O17" s="95" t="s">
        <v>103</v>
      </c>
      <c r="P17" s="96">
        <f>sum(U4:U7)</f>
        <v>1192000</v>
      </c>
      <c r="Q17" s="62"/>
      <c r="R17" s="62"/>
      <c r="S17" s="94"/>
    </row>
    <row r="18">
      <c r="B18" s="25"/>
      <c r="C18" s="25"/>
      <c r="D18" s="14" t="s">
        <v>17</v>
      </c>
      <c r="E18" s="14">
        <v>22.0</v>
      </c>
      <c r="F18" s="17">
        <v>18000.0</v>
      </c>
      <c r="G18" s="25">
        <f t="shared" si="1"/>
        <v>396000</v>
      </c>
      <c r="H18" s="25"/>
      <c r="I18" s="25">
        <f t="shared" si="2"/>
        <v>22</v>
      </c>
      <c r="J18" s="35"/>
      <c r="M18" s="62"/>
      <c r="N18" s="1"/>
      <c r="O18" s="1"/>
      <c r="P18" s="34"/>
      <c r="Q18" s="62"/>
      <c r="R18" s="62"/>
      <c r="S18" s="94"/>
    </row>
    <row r="19">
      <c r="B19" s="25"/>
      <c r="C19" s="25"/>
      <c r="D19" s="14" t="s">
        <v>56</v>
      </c>
      <c r="E19" s="14">
        <v>17.0</v>
      </c>
      <c r="F19" s="17">
        <v>15000.0</v>
      </c>
      <c r="G19" s="25">
        <f t="shared" si="1"/>
        <v>255000</v>
      </c>
      <c r="H19" s="25"/>
      <c r="I19" s="25">
        <f t="shared" si="2"/>
        <v>17</v>
      </c>
      <c r="J19" s="35"/>
      <c r="M19" s="62"/>
      <c r="N19" s="1"/>
      <c r="O19" s="1"/>
      <c r="P19" s="34"/>
      <c r="Q19" s="62"/>
      <c r="R19" s="62"/>
      <c r="S19" s="94"/>
    </row>
    <row r="20">
      <c r="B20" s="25"/>
      <c r="C20" s="25"/>
      <c r="D20" s="14" t="s">
        <v>62</v>
      </c>
      <c r="E20" s="14">
        <v>16.0</v>
      </c>
      <c r="F20" s="17">
        <v>15000.0</v>
      </c>
      <c r="G20" s="25">
        <f t="shared" si="1"/>
        <v>240000</v>
      </c>
      <c r="H20" s="25"/>
      <c r="I20" s="25">
        <f t="shared" si="2"/>
        <v>16</v>
      </c>
      <c r="J20" s="35"/>
      <c r="M20" s="62"/>
      <c r="N20" s="1"/>
      <c r="O20" s="1"/>
      <c r="P20" s="62"/>
      <c r="Q20" s="62"/>
      <c r="R20" s="62"/>
      <c r="S20" s="94"/>
    </row>
    <row r="21">
      <c r="B21" s="25"/>
      <c r="C21" s="25"/>
      <c r="D21" s="14" t="s">
        <v>65</v>
      </c>
      <c r="E21" s="14">
        <v>12.0</v>
      </c>
      <c r="F21" s="17">
        <v>13000.0</v>
      </c>
      <c r="G21" s="25">
        <f t="shared" si="1"/>
        <v>156000</v>
      </c>
      <c r="H21" s="25"/>
      <c r="I21" s="25">
        <f t="shared" si="2"/>
        <v>12</v>
      </c>
      <c r="J21" s="35"/>
      <c r="M21" s="62"/>
      <c r="N21" s="1"/>
      <c r="O21" s="1"/>
      <c r="P21" s="34"/>
      <c r="Q21" s="62"/>
      <c r="R21" s="62"/>
      <c r="S21" s="94"/>
    </row>
    <row r="22">
      <c r="B22" s="25"/>
      <c r="C22" s="25"/>
      <c r="D22" s="14" t="s">
        <v>104</v>
      </c>
      <c r="E22" s="14">
        <v>11.0</v>
      </c>
      <c r="F22" s="17">
        <v>15000.0</v>
      </c>
      <c r="G22" s="25">
        <f t="shared" si="1"/>
        <v>165000</v>
      </c>
      <c r="H22" s="25"/>
      <c r="I22" s="25">
        <f t="shared" si="2"/>
        <v>11</v>
      </c>
      <c r="J22" s="35"/>
      <c r="M22" s="62"/>
      <c r="N22" s="1"/>
      <c r="O22" s="1"/>
      <c r="P22" s="34"/>
      <c r="Q22" s="62"/>
      <c r="R22" s="62"/>
      <c r="S22" s="94"/>
    </row>
    <row r="23">
      <c r="B23" s="25"/>
      <c r="C23" s="25"/>
      <c r="D23" s="14" t="s">
        <v>72</v>
      </c>
      <c r="E23" s="14">
        <v>11.0</v>
      </c>
      <c r="F23" s="17">
        <v>13000.0</v>
      </c>
      <c r="G23" s="25">
        <f t="shared" si="1"/>
        <v>143000</v>
      </c>
      <c r="H23" s="25"/>
      <c r="I23" s="25">
        <f t="shared" si="2"/>
        <v>11</v>
      </c>
      <c r="J23" s="35"/>
      <c r="M23" s="62"/>
      <c r="N23" s="1"/>
      <c r="O23" s="1"/>
      <c r="P23" s="34"/>
      <c r="Q23" s="62"/>
      <c r="R23" s="62"/>
      <c r="S23" s="94"/>
    </row>
    <row r="24">
      <c r="B24" s="25"/>
      <c r="C24" s="25"/>
      <c r="D24" s="14" t="s">
        <v>69</v>
      </c>
      <c r="E24" s="14">
        <v>9.0</v>
      </c>
      <c r="F24" s="17">
        <v>13000.0</v>
      </c>
      <c r="G24" s="25">
        <f t="shared" si="1"/>
        <v>117000</v>
      </c>
      <c r="H24" s="25"/>
      <c r="I24" s="25">
        <f t="shared" si="2"/>
        <v>9</v>
      </c>
      <c r="J24" s="35"/>
      <c r="M24" s="62"/>
      <c r="N24" s="1"/>
      <c r="O24" s="1"/>
      <c r="P24" s="34"/>
      <c r="Q24" s="62"/>
      <c r="R24" s="62"/>
      <c r="S24" s="94"/>
    </row>
    <row r="25">
      <c r="B25" s="25"/>
      <c r="C25" s="25"/>
      <c r="D25" s="14" t="s">
        <v>181</v>
      </c>
      <c r="E25" s="14">
        <v>7.0</v>
      </c>
      <c r="F25" s="17">
        <v>10000.0</v>
      </c>
      <c r="G25" s="25">
        <f t="shared" si="1"/>
        <v>70000</v>
      </c>
      <c r="H25" s="25"/>
      <c r="I25" s="25">
        <f t="shared" si="2"/>
        <v>7</v>
      </c>
      <c r="J25" s="35"/>
      <c r="M25" s="62"/>
      <c r="N25" s="1"/>
      <c r="O25" s="1"/>
      <c r="P25" s="34"/>
      <c r="Q25" s="62"/>
      <c r="R25" s="62"/>
      <c r="S25" s="94"/>
    </row>
    <row r="26">
      <c r="B26" s="25"/>
      <c r="C26" s="25"/>
      <c r="D26" s="14" t="s">
        <v>53</v>
      </c>
      <c r="E26" s="14">
        <v>6.0</v>
      </c>
      <c r="F26" s="17">
        <v>15000.0</v>
      </c>
      <c r="G26" s="25">
        <f t="shared" si="1"/>
        <v>90000</v>
      </c>
      <c r="H26" s="25"/>
      <c r="I26" s="25">
        <f t="shared" si="2"/>
        <v>6</v>
      </c>
      <c r="J26" s="35"/>
      <c r="M26" s="62"/>
      <c r="N26" s="1"/>
      <c r="O26" s="1"/>
      <c r="P26" s="62"/>
      <c r="Q26" s="62"/>
      <c r="R26" s="62"/>
      <c r="S26" s="94"/>
    </row>
    <row r="27">
      <c r="B27" s="25"/>
      <c r="C27" s="25"/>
      <c r="D27" s="14" t="s">
        <v>102</v>
      </c>
      <c r="E27" s="14">
        <v>6.0</v>
      </c>
      <c r="F27" s="17">
        <v>25000.0</v>
      </c>
      <c r="G27" s="25">
        <f t="shared" si="1"/>
        <v>150000</v>
      </c>
      <c r="H27" s="25"/>
      <c r="I27" s="25">
        <f t="shared" si="2"/>
        <v>6</v>
      </c>
      <c r="J27" s="35"/>
      <c r="M27" s="62"/>
      <c r="N27" s="1"/>
      <c r="O27" s="1"/>
      <c r="P27" s="34"/>
      <c r="Q27" s="62"/>
      <c r="R27" s="62"/>
      <c r="S27" s="94"/>
    </row>
    <row r="28">
      <c r="B28" s="25"/>
      <c r="C28" s="25"/>
      <c r="D28" s="14" t="s">
        <v>77</v>
      </c>
      <c r="E28" s="14">
        <v>5.0</v>
      </c>
      <c r="F28" s="17">
        <v>15000.0</v>
      </c>
      <c r="G28" s="25">
        <f t="shared" si="1"/>
        <v>75000</v>
      </c>
      <c r="H28" s="25"/>
      <c r="I28" s="25">
        <f t="shared" si="2"/>
        <v>5</v>
      </c>
      <c r="J28" s="35"/>
      <c r="M28" s="62"/>
      <c r="N28" s="1"/>
      <c r="O28" s="1"/>
      <c r="P28" s="62"/>
      <c r="Q28" s="62"/>
      <c r="R28" s="62"/>
      <c r="S28" s="94"/>
    </row>
    <row r="29">
      <c r="B29" s="25"/>
      <c r="C29" s="25"/>
      <c r="D29" s="14" t="s">
        <v>89</v>
      </c>
      <c r="E29" s="14">
        <v>4.0</v>
      </c>
      <c r="F29" s="17">
        <v>15000.0</v>
      </c>
      <c r="G29" s="25">
        <f t="shared" si="1"/>
        <v>60000</v>
      </c>
      <c r="H29" s="25"/>
      <c r="I29" s="25">
        <f t="shared" si="2"/>
        <v>4</v>
      </c>
      <c r="J29" s="35"/>
      <c r="M29" s="62"/>
      <c r="N29" s="1"/>
      <c r="O29" s="1"/>
      <c r="P29" s="62"/>
      <c r="Q29" s="62"/>
      <c r="R29" s="62"/>
      <c r="S29" s="94"/>
    </row>
    <row r="30">
      <c r="B30" s="25"/>
      <c r="C30" s="25"/>
      <c r="D30" s="14" t="s">
        <v>68</v>
      </c>
      <c r="E30" s="14">
        <v>4.0</v>
      </c>
      <c r="F30" s="17">
        <v>13000.0</v>
      </c>
      <c r="G30" s="25">
        <f t="shared" si="1"/>
        <v>52000</v>
      </c>
      <c r="H30" s="25"/>
      <c r="I30" s="25">
        <f t="shared" si="2"/>
        <v>4</v>
      </c>
      <c r="J30" s="35"/>
      <c r="M30" s="62"/>
      <c r="N30" s="1"/>
      <c r="O30" s="1"/>
      <c r="P30" s="62"/>
      <c r="Q30" s="62"/>
      <c r="R30" s="62"/>
      <c r="S30" s="94"/>
    </row>
    <row r="31">
      <c r="B31" s="25"/>
      <c r="C31" s="25"/>
      <c r="D31" s="14" t="s">
        <v>107</v>
      </c>
      <c r="E31" s="14">
        <v>4.0</v>
      </c>
      <c r="F31" s="17">
        <v>18000.0</v>
      </c>
      <c r="G31" s="25">
        <f t="shared" si="1"/>
        <v>72000</v>
      </c>
      <c r="H31" s="25"/>
      <c r="I31" s="25">
        <f t="shared" si="2"/>
        <v>4</v>
      </c>
      <c r="J31" s="35"/>
    </row>
    <row r="32">
      <c r="B32" s="25"/>
      <c r="C32" s="25"/>
      <c r="D32" s="14" t="s">
        <v>109</v>
      </c>
      <c r="E32" s="14">
        <v>4.0</v>
      </c>
      <c r="F32" s="17">
        <v>18000.0</v>
      </c>
      <c r="G32" s="25">
        <f t="shared" si="1"/>
        <v>72000</v>
      </c>
      <c r="H32" s="25"/>
      <c r="I32" s="25">
        <f t="shared" si="2"/>
        <v>4</v>
      </c>
      <c r="J32" s="35"/>
    </row>
    <row r="33">
      <c r="B33" s="25"/>
      <c r="C33" s="25"/>
      <c r="D33" s="14" t="s">
        <v>101</v>
      </c>
      <c r="E33" s="14">
        <v>2.0</v>
      </c>
      <c r="F33" s="17">
        <v>13000.0</v>
      </c>
      <c r="G33" s="25">
        <f t="shared" si="1"/>
        <v>26000</v>
      </c>
      <c r="H33" s="25"/>
      <c r="I33" s="25">
        <f t="shared" si="2"/>
        <v>2</v>
      </c>
      <c r="J33" s="35"/>
    </row>
    <row r="34">
      <c r="B34" s="25"/>
      <c r="C34" s="25"/>
      <c r="D34" s="14" t="s">
        <v>71</v>
      </c>
      <c r="E34" s="14">
        <v>2.0</v>
      </c>
      <c r="F34" s="17">
        <v>18000.0</v>
      </c>
      <c r="G34" s="25">
        <f t="shared" si="1"/>
        <v>36000</v>
      </c>
      <c r="H34" s="25"/>
      <c r="I34" s="25">
        <f t="shared" si="2"/>
        <v>2</v>
      </c>
      <c r="J34" s="35"/>
    </row>
    <row r="35">
      <c r="B35" s="25"/>
      <c r="C35" s="25"/>
      <c r="D35" s="14" t="s">
        <v>113</v>
      </c>
      <c r="E35" s="14">
        <v>2.0</v>
      </c>
      <c r="F35" s="17">
        <v>35000.0</v>
      </c>
      <c r="G35" s="25">
        <f t="shared" si="1"/>
        <v>70000</v>
      </c>
      <c r="H35" s="25"/>
      <c r="I35" s="25">
        <f t="shared" si="2"/>
        <v>2</v>
      </c>
      <c r="J35" s="13"/>
    </row>
    <row r="36">
      <c r="B36" s="9" t="s">
        <v>36</v>
      </c>
      <c r="C36" s="91" t="s">
        <v>184</v>
      </c>
      <c r="D36" s="14" t="s">
        <v>17</v>
      </c>
      <c r="E36" s="14">
        <v>47.0</v>
      </c>
      <c r="F36" s="17">
        <v>18000.0</v>
      </c>
      <c r="G36" s="25">
        <f t="shared" si="1"/>
        <v>846000</v>
      </c>
      <c r="H36" s="25"/>
      <c r="I36" s="25">
        <f t="shared" si="2"/>
        <v>47</v>
      </c>
      <c r="J36" s="29">
        <f>sum(I36:I54)</f>
        <v>204</v>
      </c>
    </row>
    <row r="37">
      <c r="B37" s="25"/>
      <c r="C37" s="25"/>
      <c r="D37" s="14" t="s">
        <v>56</v>
      </c>
      <c r="E37" s="14">
        <v>25.0</v>
      </c>
      <c r="F37" s="17">
        <v>15000.0</v>
      </c>
      <c r="G37" s="25">
        <f t="shared" si="1"/>
        <v>375000</v>
      </c>
      <c r="H37" s="25"/>
      <c r="I37" s="25">
        <f t="shared" si="2"/>
        <v>25</v>
      </c>
      <c r="J37" s="35"/>
    </row>
    <row r="38">
      <c r="B38" s="25"/>
      <c r="C38" s="25"/>
      <c r="D38" s="14" t="s">
        <v>181</v>
      </c>
      <c r="E38" s="14">
        <v>25.0</v>
      </c>
      <c r="F38" s="17">
        <v>10000.0</v>
      </c>
      <c r="G38" s="25">
        <f t="shared" si="1"/>
        <v>250000</v>
      </c>
      <c r="H38" s="25"/>
      <c r="I38" s="25">
        <f t="shared" si="2"/>
        <v>25</v>
      </c>
      <c r="J38" s="35"/>
    </row>
    <row r="39">
      <c r="B39" s="25"/>
      <c r="C39" s="25"/>
      <c r="D39" s="14" t="s">
        <v>60</v>
      </c>
      <c r="E39" s="14">
        <v>18.0</v>
      </c>
      <c r="F39" s="17">
        <v>15000.0</v>
      </c>
      <c r="G39" s="25">
        <f t="shared" si="1"/>
        <v>270000</v>
      </c>
      <c r="H39" s="25"/>
      <c r="I39" s="25">
        <f t="shared" si="2"/>
        <v>18</v>
      </c>
      <c r="J39" s="35"/>
    </row>
    <row r="40">
      <c r="B40" s="25"/>
      <c r="C40" s="25"/>
      <c r="D40" s="14" t="s">
        <v>62</v>
      </c>
      <c r="E40" s="14">
        <v>15.0</v>
      </c>
      <c r="F40" s="17">
        <v>15000.0</v>
      </c>
      <c r="G40" s="25">
        <f t="shared" si="1"/>
        <v>225000</v>
      </c>
      <c r="H40" s="25"/>
      <c r="I40" s="25">
        <f t="shared" si="2"/>
        <v>15</v>
      </c>
      <c r="J40" s="35"/>
    </row>
    <row r="41">
      <c r="B41" s="25"/>
      <c r="C41" s="25"/>
      <c r="D41" s="14" t="s">
        <v>104</v>
      </c>
      <c r="E41" s="14">
        <v>10.0</v>
      </c>
      <c r="F41" s="17">
        <v>15000.0</v>
      </c>
      <c r="G41" s="25">
        <f t="shared" si="1"/>
        <v>150000</v>
      </c>
      <c r="H41" s="25"/>
      <c r="I41" s="25">
        <f t="shared" si="2"/>
        <v>10</v>
      </c>
      <c r="J41" s="35"/>
    </row>
    <row r="42">
      <c r="B42" s="25"/>
      <c r="C42" s="25"/>
      <c r="D42" s="14" t="s">
        <v>69</v>
      </c>
      <c r="E42" s="14">
        <v>10.0</v>
      </c>
      <c r="F42" s="17">
        <v>13000.0</v>
      </c>
      <c r="G42" s="25">
        <f t="shared" si="1"/>
        <v>130000</v>
      </c>
      <c r="H42" s="25"/>
      <c r="I42" s="25">
        <f t="shared" si="2"/>
        <v>10</v>
      </c>
      <c r="J42" s="35"/>
    </row>
    <row r="43">
      <c r="B43" s="25"/>
      <c r="C43" s="25"/>
      <c r="D43" s="14" t="s">
        <v>109</v>
      </c>
      <c r="E43" s="14">
        <v>10.0</v>
      </c>
      <c r="F43" s="17">
        <v>18000.0</v>
      </c>
      <c r="G43" s="25">
        <f t="shared" si="1"/>
        <v>180000</v>
      </c>
      <c r="H43" s="25"/>
      <c r="I43" s="25">
        <f t="shared" si="2"/>
        <v>10</v>
      </c>
      <c r="J43" s="35"/>
    </row>
    <row r="44">
      <c r="B44" s="25"/>
      <c r="C44" s="25"/>
      <c r="D44" s="14" t="s">
        <v>65</v>
      </c>
      <c r="E44" s="14">
        <v>7.0</v>
      </c>
      <c r="F44" s="17">
        <v>13000.0</v>
      </c>
      <c r="G44" s="25">
        <f t="shared" si="1"/>
        <v>91000</v>
      </c>
      <c r="H44" s="25"/>
      <c r="I44" s="25">
        <f t="shared" si="2"/>
        <v>7</v>
      </c>
      <c r="J44" s="35"/>
    </row>
    <row r="45">
      <c r="B45" s="25"/>
      <c r="C45" s="25"/>
      <c r="D45" s="14" t="s">
        <v>102</v>
      </c>
      <c r="E45" s="14">
        <v>6.0</v>
      </c>
      <c r="F45" s="17">
        <v>25000.0</v>
      </c>
      <c r="G45" s="25">
        <f t="shared" si="1"/>
        <v>150000</v>
      </c>
      <c r="H45" s="25"/>
      <c r="I45" s="25">
        <f t="shared" si="2"/>
        <v>6</v>
      </c>
      <c r="J45" s="35"/>
    </row>
    <row r="46">
      <c r="B46" s="25"/>
      <c r="C46" s="25"/>
      <c r="D46" s="14" t="s">
        <v>101</v>
      </c>
      <c r="E46" s="14">
        <v>5.0</v>
      </c>
      <c r="F46" s="17">
        <v>13000.0</v>
      </c>
      <c r="G46" s="25">
        <f t="shared" si="1"/>
        <v>65000</v>
      </c>
      <c r="H46" s="25"/>
      <c r="I46" s="25">
        <f t="shared" si="2"/>
        <v>5</v>
      </c>
      <c r="J46" s="35"/>
    </row>
    <row r="47">
      <c r="B47" s="25"/>
      <c r="C47" s="25"/>
      <c r="D47" s="14" t="s">
        <v>89</v>
      </c>
      <c r="E47" s="14">
        <v>4.0</v>
      </c>
      <c r="F47" s="17">
        <v>15000.0</v>
      </c>
      <c r="G47" s="25">
        <f t="shared" si="1"/>
        <v>60000</v>
      </c>
      <c r="H47" s="25"/>
      <c r="I47" s="25">
        <f t="shared" si="2"/>
        <v>4</v>
      </c>
      <c r="J47" s="35"/>
    </row>
    <row r="48">
      <c r="B48" s="25"/>
      <c r="C48" s="25"/>
      <c r="D48" s="14" t="s">
        <v>72</v>
      </c>
      <c r="E48" s="14">
        <v>4.0</v>
      </c>
      <c r="F48" s="17">
        <v>13000.0</v>
      </c>
      <c r="G48" s="25">
        <f t="shared" si="1"/>
        <v>52000</v>
      </c>
      <c r="H48" s="25"/>
      <c r="I48" s="25">
        <f t="shared" si="2"/>
        <v>4</v>
      </c>
      <c r="J48" s="35"/>
    </row>
    <row r="49">
      <c r="B49" s="25"/>
      <c r="C49" s="25"/>
      <c r="D49" s="14" t="s">
        <v>77</v>
      </c>
      <c r="E49" s="14">
        <v>4.0</v>
      </c>
      <c r="F49" s="17">
        <v>15000.0</v>
      </c>
      <c r="G49" s="25">
        <f t="shared" si="1"/>
        <v>60000</v>
      </c>
      <c r="H49" s="25"/>
      <c r="I49" s="25">
        <f t="shared" si="2"/>
        <v>4</v>
      </c>
      <c r="J49" s="35"/>
    </row>
    <row r="50">
      <c r="B50" s="25"/>
      <c r="C50" s="25"/>
      <c r="D50" s="14" t="s">
        <v>107</v>
      </c>
      <c r="E50" s="14">
        <v>3.0</v>
      </c>
      <c r="F50" s="17">
        <v>18000.0</v>
      </c>
      <c r="G50" s="25">
        <f t="shared" si="1"/>
        <v>54000</v>
      </c>
      <c r="H50" s="25"/>
      <c r="I50" s="25">
        <f t="shared" si="2"/>
        <v>3</v>
      </c>
      <c r="J50" s="35"/>
    </row>
    <row r="51">
      <c r="B51" s="25"/>
      <c r="C51" s="25"/>
      <c r="D51" s="14" t="s">
        <v>71</v>
      </c>
      <c r="E51" s="14">
        <v>3.0</v>
      </c>
      <c r="F51" s="17">
        <v>18000.0</v>
      </c>
      <c r="G51" s="25">
        <f t="shared" si="1"/>
        <v>54000</v>
      </c>
      <c r="H51" s="25"/>
      <c r="I51" s="25">
        <f t="shared" si="2"/>
        <v>3</v>
      </c>
      <c r="J51" s="35"/>
    </row>
    <row r="52">
      <c r="B52" s="25"/>
      <c r="C52" s="25"/>
      <c r="D52" s="14" t="s">
        <v>28</v>
      </c>
      <c r="E52" s="14">
        <v>3.0</v>
      </c>
      <c r="F52" s="17">
        <v>15000.0</v>
      </c>
      <c r="G52" s="25">
        <f t="shared" si="1"/>
        <v>45000</v>
      </c>
      <c r="H52" s="25"/>
      <c r="I52" s="25">
        <f t="shared" si="2"/>
        <v>3</v>
      </c>
      <c r="J52" s="35"/>
    </row>
    <row r="53">
      <c r="B53" s="25"/>
      <c r="C53" s="25"/>
      <c r="D53" s="14" t="s">
        <v>113</v>
      </c>
      <c r="E53" s="14">
        <v>3.0</v>
      </c>
      <c r="F53" s="17">
        <v>35000.0</v>
      </c>
      <c r="G53" s="25">
        <f t="shared" si="1"/>
        <v>105000</v>
      </c>
      <c r="H53" s="25"/>
      <c r="I53" s="25">
        <f t="shared" si="2"/>
        <v>3</v>
      </c>
      <c r="J53" s="35"/>
    </row>
    <row r="54">
      <c r="B54" s="25"/>
      <c r="C54" s="25"/>
      <c r="D54" s="14" t="s">
        <v>59</v>
      </c>
      <c r="E54" s="14">
        <v>2.0</v>
      </c>
      <c r="F54" s="17">
        <v>10000.0</v>
      </c>
      <c r="G54" s="25">
        <f t="shared" si="1"/>
        <v>20000</v>
      </c>
      <c r="H54" s="25"/>
      <c r="I54" s="25">
        <f t="shared" si="2"/>
        <v>2</v>
      </c>
      <c r="J54" s="13"/>
    </row>
    <row r="55">
      <c r="B55" s="9" t="s">
        <v>39</v>
      </c>
      <c r="C55" s="91" t="s">
        <v>185</v>
      </c>
      <c r="D55" s="14" t="s">
        <v>17</v>
      </c>
      <c r="E55" s="14">
        <v>31.0</v>
      </c>
      <c r="F55" s="17">
        <v>18000.0</v>
      </c>
      <c r="G55" s="25">
        <f t="shared" si="1"/>
        <v>558000</v>
      </c>
      <c r="H55" s="25"/>
      <c r="I55" s="25">
        <f t="shared" si="2"/>
        <v>31</v>
      </c>
      <c r="J55" s="29">
        <f>sum(I55:I76)</f>
        <v>182</v>
      </c>
    </row>
    <row r="56">
      <c r="B56" s="25"/>
      <c r="C56" s="25"/>
      <c r="D56" s="14" t="s">
        <v>62</v>
      </c>
      <c r="E56" s="14">
        <v>23.0</v>
      </c>
      <c r="F56" s="17">
        <v>15000.0</v>
      </c>
      <c r="G56" s="25">
        <f t="shared" si="1"/>
        <v>345000</v>
      </c>
      <c r="H56" s="25"/>
      <c r="I56" s="25">
        <f t="shared" si="2"/>
        <v>23</v>
      </c>
      <c r="J56" s="35"/>
    </row>
    <row r="57">
      <c r="B57" s="25"/>
      <c r="C57" s="25"/>
      <c r="D57" s="14" t="s">
        <v>60</v>
      </c>
      <c r="E57" s="14">
        <v>17.0</v>
      </c>
      <c r="F57" s="17">
        <v>15000.0</v>
      </c>
      <c r="G57" s="25">
        <f t="shared" si="1"/>
        <v>255000</v>
      </c>
      <c r="H57" s="25"/>
      <c r="I57" s="25">
        <f t="shared" si="2"/>
        <v>17</v>
      </c>
      <c r="J57" s="35"/>
    </row>
    <row r="58">
      <c r="B58" s="25"/>
      <c r="C58" s="25"/>
      <c r="D58" s="14" t="s">
        <v>181</v>
      </c>
      <c r="E58" s="14">
        <v>14.0</v>
      </c>
      <c r="F58" s="17">
        <v>10000.0</v>
      </c>
      <c r="G58" s="25">
        <f t="shared" si="1"/>
        <v>140000</v>
      </c>
      <c r="H58" s="25"/>
      <c r="I58" s="25">
        <f t="shared" si="2"/>
        <v>14</v>
      </c>
      <c r="J58" s="35"/>
    </row>
    <row r="59">
      <c r="B59" s="25"/>
      <c r="C59" s="25"/>
      <c r="D59" s="14" t="s">
        <v>56</v>
      </c>
      <c r="E59" s="14">
        <v>10.0</v>
      </c>
      <c r="F59" s="17">
        <v>15000.0</v>
      </c>
      <c r="G59" s="25">
        <f t="shared" si="1"/>
        <v>150000</v>
      </c>
      <c r="H59" s="25"/>
      <c r="I59" s="25">
        <f t="shared" si="2"/>
        <v>10</v>
      </c>
      <c r="J59" s="35"/>
    </row>
    <row r="60">
      <c r="B60" s="25"/>
      <c r="C60" s="25"/>
      <c r="D60" s="14" t="s">
        <v>89</v>
      </c>
      <c r="E60" s="14">
        <v>9.0</v>
      </c>
      <c r="F60" s="17">
        <v>15000.0</v>
      </c>
      <c r="G60" s="25">
        <f t="shared" si="1"/>
        <v>135000</v>
      </c>
      <c r="H60" s="25"/>
      <c r="I60" s="25">
        <f t="shared" si="2"/>
        <v>9</v>
      </c>
      <c r="J60" s="35"/>
    </row>
    <row r="61">
      <c r="B61" s="25"/>
      <c r="C61" s="25"/>
      <c r="D61" s="14" t="s">
        <v>77</v>
      </c>
      <c r="E61" s="14">
        <v>9.0</v>
      </c>
      <c r="F61" s="17">
        <v>15000.0</v>
      </c>
      <c r="G61" s="25">
        <f t="shared" si="1"/>
        <v>135000</v>
      </c>
      <c r="H61" s="25"/>
      <c r="I61" s="25">
        <f t="shared" si="2"/>
        <v>9</v>
      </c>
      <c r="J61" s="35"/>
    </row>
    <row r="62">
      <c r="B62" s="25"/>
      <c r="C62" s="25"/>
      <c r="D62" s="14" t="s">
        <v>101</v>
      </c>
      <c r="E62" s="14">
        <v>9.0</v>
      </c>
      <c r="F62" s="17">
        <v>13000.0</v>
      </c>
      <c r="G62" s="25">
        <f t="shared" si="1"/>
        <v>117000</v>
      </c>
      <c r="H62" s="25"/>
      <c r="I62" s="25">
        <f t="shared" si="2"/>
        <v>9</v>
      </c>
      <c r="J62" s="35"/>
    </row>
    <row r="63">
      <c r="B63" s="25"/>
      <c r="C63" s="25"/>
      <c r="D63" s="14" t="s">
        <v>102</v>
      </c>
      <c r="E63" s="14">
        <v>8.0</v>
      </c>
      <c r="F63" s="17">
        <v>25000.0</v>
      </c>
      <c r="G63" s="25">
        <f t="shared" si="1"/>
        <v>200000</v>
      </c>
      <c r="H63" s="25"/>
      <c r="I63" s="25">
        <f t="shared" si="2"/>
        <v>8</v>
      </c>
      <c r="J63" s="35"/>
    </row>
    <row r="64">
      <c r="B64" s="25"/>
      <c r="C64" s="25"/>
      <c r="D64" s="14" t="s">
        <v>65</v>
      </c>
      <c r="E64" s="14">
        <v>7.0</v>
      </c>
      <c r="F64" s="17">
        <v>13000.0</v>
      </c>
      <c r="G64" s="25">
        <f t="shared" si="1"/>
        <v>91000</v>
      </c>
      <c r="H64" s="25"/>
      <c r="I64" s="25">
        <f t="shared" si="2"/>
        <v>7</v>
      </c>
      <c r="J64" s="35"/>
    </row>
    <row r="65">
      <c r="B65" s="25"/>
      <c r="C65" s="25"/>
      <c r="D65" s="14" t="s">
        <v>104</v>
      </c>
      <c r="E65" s="14">
        <v>6.0</v>
      </c>
      <c r="F65" s="17">
        <v>15000.0</v>
      </c>
      <c r="G65" s="25">
        <f t="shared" si="1"/>
        <v>90000</v>
      </c>
      <c r="H65" s="25"/>
      <c r="I65" s="25">
        <f t="shared" si="2"/>
        <v>6</v>
      </c>
      <c r="J65" s="35"/>
    </row>
    <row r="66">
      <c r="B66" s="25"/>
      <c r="C66" s="25"/>
      <c r="D66" s="14" t="s">
        <v>69</v>
      </c>
      <c r="E66" s="14">
        <v>6.0</v>
      </c>
      <c r="F66" s="17">
        <v>13000.0</v>
      </c>
      <c r="G66" s="25">
        <f t="shared" si="1"/>
        <v>78000</v>
      </c>
      <c r="H66" s="25"/>
      <c r="I66" s="25">
        <f t="shared" si="2"/>
        <v>6</v>
      </c>
      <c r="J66" s="35"/>
    </row>
    <row r="67">
      <c r="B67" s="25"/>
      <c r="C67" s="25"/>
      <c r="D67" s="14" t="s">
        <v>72</v>
      </c>
      <c r="E67" s="14">
        <v>6.0</v>
      </c>
      <c r="F67" s="17">
        <v>13000.0</v>
      </c>
      <c r="G67" s="25">
        <f t="shared" si="1"/>
        <v>78000</v>
      </c>
      <c r="H67" s="25"/>
      <c r="I67" s="25">
        <f t="shared" si="2"/>
        <v>6</v>
      </c>
      <c r="J67" s="35"/>
    </row>
    <row r="68">
      <c r="B68" s="25"/>
      <c r="C68" s="25"/>
      <c r="D68" s="14" t="s">
        <v>107</v>
      </c>
      <c r="E68" s="14">
        <v>5.0</v>
      </c>
      <c r="F68" s="17">
        <v>18000.0</v>
      </c>
      <c r="G68" s="25">
        <f t="shared" si="1"/>
        <v>90000</v>
      </c>
      <c r="H68" s="25"/>
      <c r="I68" s="25">
        <f t="shared" si="2"/>
        <v>5</v>
      </c>
      <c r="J68" s="35"/>
    </row>
    <row r="69">
      <c r="B69" s="25"/>
      <c r="C69" s="25"/>
      <c r="D69" s="14" t="s">
        <v>68</v>
      </c>
      <c r="E69" s="14">
        <v>4.0</v>
      </c>
      <c r="F69" s="17">
        <v>13000.0</v>
      </c>
      <c r="G69" s="25">
        <f t="shared" si="1"/>
        <v>52000</v>
      </c>
      <c r="H69" s="25"/>
      <c r="I69" s="25">
        <f t="shared" si="2"/>
        <v>4</v>
      </c>
      <c r="J69" s="35"/>
    </row>
    <row r="70">
      <c r="B70" s="25"/>
      <c r="C70" s="25"/>
      <c r="D70" s="14" t="s">
        <v>53</v>
      </c>
      <c r="E70" s="14">
        <v>4.0</v>
      </c>
      <c r="F70" s="17">
        <v>15000.0</v>
      </c>
      <c r="G70" s="25">
        <f t="shared" si="1"/>
        <v>60000</v>
      </c>
      <c r="H70" s="25"/>
      <c r="I70" s="25">
        <f t="shared" si="2"/>
        <v>4</v>
      </c>
      <c r="J70" s="35"/>
    </row>
    <row r="71">
      <c r="B71" s="25"/>
      <c r="C71" s="25"/>
      <c r="D71" s="14" t="s">
        <v>28</v>
      </c>
      <c r="E71" s="14">
        <v>4.0</v>
      </c>
      <c r="F71" s="17">
        <v>15000.0</v>
      </c>
      <c r="G71" s="25">
        <f t="shared" si="1"/>
        <v>60000</v>
      </c>
      <c r="H71" s="25"/>
      <c r="I71" s="25">
        <f t="shared" si="2"/>
        <v>4</v>
      </c>
      <c r="J71" s="35"/>
    </row>
    <row r="72">
      <c r="B72" s="25"/>
      <c r="C72" s="25"/>
      <c r="D72" s="14" t="s">
        <v>59</v>
      </c>
      <c r="E72" s="14">
        <v>3.0</v>
      </c>
      <c r="F72" s="17">
        <v>10000.0</v>
      </c>
      <c r="G72" s="25">
        <f t="shared" si="1"/>
        <v>30000</v>
      </c>
      <c r="H72" s="25"/>
      <c r="I72" s="25">
        <f t="shared" si="2"/>
        <v>3</v>
      </c>
      <c r="J72" s="35"/>
    </row>
    <row r="73">
      <c r="B73" s="25"/>
      <c r="C73" s="25"/>
      <c r="D73" s="14" t="s">
        <v>113</v>
      </c>
      <c r="E73" s="14">
        <v>2.0</v>
      </c>
      <c r="F73" s="17">
        <v>35000.0</v>
      </c>
      <c r="G73" s="25">
        <f t="shared" si="1"/>
        <v>70000</v>
      </c>
      <c r="H73" s="25"/>
      <c r="I73" s="25">
        <f t="shared" si="2"/>
        <v>2</v>
      </c>
      <c r="J73" s="35"/>
    </row>
    <row r="74">
      <c r="B74" s="25"/>
      <c r="C74" s="25"/>
      <c r="D74" s="14" t="s">
        <v>125</v>
      </c>
      <c r="E74" s="14">
        <v>2.0</v>
      </c>
      <c r="F74" s="17">
        <v>13000.0</v>
      </c>
      <c r="G74" s="25">
        <f t="shared" si="1"/>
        <v>26000</v>
      </c>
      <c r="H74" s="25"/>
      <c r="I74" s="25">
        <f t="shared" si="2"/>
        <v>2</v>
      </c>
      <c r="J74" s="35"/>
    </row>
    <row r="75">
      <c r="B75" s="25"/>
      <c r="C75" s="25"/>
      <c r="D75" s="14" t="s">
        <v>71</v>
      </c>
      <c r="E75" s="14">
        <v>2.0</v>
      </c>
      <c r="F75" s="17">
        <v>18000.0</v>
      </c>
      <c r="G75" s="25">
        <f t="shared" si="1"/>
        <v>36000</v>
      </c>
      <c r="H75" s="25"/>
      <c r="I75" s="25">
        <f t="shared" si="2"/>
        <v>2</v>
      </c>
      <c r="J75" s="35"/>
    </row>
    <row r="76">
      <c r="B76" s="25"/>
      <c r="C76" s="25"/>
      <c r="D76" s="14" t="s">
        <v>109</v>
      </c>
      <c r="E76" s="14">
        <v>1.0</v>
      </c>
      <c r="F76" s="17">
        <v>18000.0</v>
      </c>
      <c r="G76" s="25">
        <f t="shared" si="1"/>
        <v>18000</v>
      </c>
      <c r="H76" s="25"/>
      <c r="I76" s="25">
        <f t="shared" si="2"/>
        <v>1</v>
      </c>
      <c r="J76" s="13"/>
    </row>
    <row r="77">
      <c r="B77" s="9" t="s">
        <v>43</v>
      </c>
      <c r="C77" s="91" t="s">
        <v>186</v>
      </c>
      <c r="D77" s="14" t="s">
        <v>17</v>
      </c>
      <c r="E77" s="14">
        <v>49.0</v>
      </c>
      <c r="F77" s="17">
        <v>18000.0</v>
      </c>
      <c r="G77" s="25">
        <f t="shared" si="1"/>
        <v>882000</v>
      </c>
      <c r="H77" s="25"/>
      <c r="I77" s="25">
        <f t="shared" si="2"/>
        <v>49</v>
      </c>
      <c r="J77" s="29">
        <f>sum(I77:I98)</f>
        <v>250</v>
      </c>
    </row>
    <row r="78">
      <c r="B78" s="25"/>
      <c r="C78" s="25"/>
      <c r="D78" s="14" t="s">
        <v>56</v>
      </c>
      <c r="E78" s="14">
        <v>29.0</v>
      </c>
      <c r="F78" s="17">
        <v>15000.0</v>
      </c>
      <c r="G78" s="25">
        <f t="shared" si="1"/>
        <v>435000</v>
      </c>
      <c r="H78" s="25"/>
      <c r="I78" s="25">
        <f t="shared" si="2"/>
        <v>29</v>
      </c>
      <c r="J78" s="35"/>
    </row>
    <row r="79">
      <c r="B79" s="25"/>
      <c r="C79" s="25"/>
      <c r="D79" s="14" t="s">
        <v>60</v>
      </c>
      <c r="E79" s="14">
        <v>27.0</v>
      </c>
      <c r="F79" s="17">
        <v>15000.0</v>
      </c>
      <c r="G79" s="25">
        <f t="shared" si="1"/>
        <v>405000</v>
      </c>
      <c r="H79" s="25"/>
      <c r="I79" s="25">
        <f t="shared" si="2"/>
        <v>27</v>
      </c>
      <c r="J79" s="35"/>
    </row>
    <row r="80">
      <c r="B80" s="25"/>
      <c r="C80" s="25"/>
      <c r="D80" s="14" t="s">
        <v>62</v>
      </c>
      <c r="E80" s="14">
        <v>21.0</v>
      </c>
      <c r="F80" s="17">
        <v>15000.0</v>
      </c>
      <c r="G80" s="25">
        <f t="shared" si="1"/>
        <v>315000</v>
      </c>
      <c r="H80" s="25"/>
      <c r="I80" s="25">
        <f t="shared" si="2"/>
        <v>21</v>
      </c>
      <c r="J80" s="35"/>
    </row>
    <row r="81">
      <c r="B81" s="25"/>
      <c r="C81" s="25"/>
      <c r="D81" s="14" t="s">
        <v>65</v>
      </c>
      <c r="E81" s="14">
        <v>16.0</v>
      </c>
      <c r="F81" s="17">
        <v>13000.0</v>
      </c>
      <c r="G81" s="25">
        <f t="shared" si="1"/>
        <v>208000</v>
      </c>
      <c r="H81" s="25"/>
      <c r="I81" s="25">
        <f t="shared" si="2"/>
        <v>16</v>
      </c>
      <c r="J81" s="35"/>
    </row>
    <row r="82">
      <c r="B82" s="25"/>
      <c r="C82" s="25"/>
      <c r="D82" s="14" t="s">
        <v>181</v>
      </c>
      <c r="E82" s="14">
        <v>11.0</v>
      </c>
      <c r="F82" s="17">
        <v>10000.0</v>
      </c>
      <c r="G82" s="25">
        <f t="shared" si="1"/>
        <v>110000</v>
      </c>
      <c r="H82" s="25"/>
      <c r="I82" s="25">
        <f t="shared" si="2"/>
        <v>11</v>
      </c>
      <c r="J82" s="35"/>
    </row>
    <row r="83">
      <c r="B83" s="25"/>
      <c r="C83" s="25"/>
      <c r="D83" s="14" t="s">
        <v>71</v>
      </c>
      <c r="E83" s="14">
        <v>11.0</v>
      </c>
      <c r="F83" s="17">
        <v>18000.0</v>
      </c>
      <c r="G83" s="25">
        <f t="shared" si="1"/>
        <v>198000</v>
      </c>
      <c r="H83" s="25"/>
      <c r="I83" s="25">
        <f t="shared" si="2"/>
        <v>11</v>
      </c>
      <c r="J83" s="35"/>
    </row>
    <row r="84">
      <c r="B84" s="25"/>
      <c r="C84" s="25"/>
      <c r="D84" s="14" t="s">
        <v>101</v>
      </c>
      <c r="E84" s="14">
        <v>11.0</v>
      </c>
      <c r="F84" s="17">
        <v>13000.0</v>
      </c>
      <c r="G84" s="25">
        <f t="shared" si="1"/>
        <v>143000</v>
      </c>
      <c r="H84" s="25"/>
      <c r="I84" s="25">
        <f t="shared" si="2"/>
        <v>11</v>
      </c>
      <c r="J84" s="35"/>
    </row>
    <row r="85">
      <c r="B85" s="25"/>
      <c r="C85" s="25"/>
      <c r="D85" s="14" t="s">
        <v>77</v>
      </c>
      <c r="E85" s="14">
        <v>10.0</v>
      </c>
      <c r="F85" s="17">
        <v>15000.0</v>
      </c>
      <c r="G85" s="25">
        <f t="shared" si="1"/>
        <v>150000</v>
      </c>
      <c r="H85" s="25"/>
      <c r="I85" s="25">
        <f t="shared" si="2"/>
        <v>10</v>
      </c>
      <c r="J85" s="35"/>
    </row>
    <row r="86">
      <c r="B86" s="25"/>
      <c r="C86" s="25"/>
      <c r="D86" s="14" t="s">
        <v>28</v>
      </c>
      <c r="E86" s="14">
        <v>10.0</v>
      </c>
      <c r="F86" s="17">
        <v>15000.0</v>
      </c>
      <c r="G86" s="25">
        <f t="shared" si="1"/>
        <v>150000</v>
      </c>
      <c r="H86" s="25"/>
      <c r="I86" s="25">
        <f t="shared" si="2"/>
        <v>10</v>
      </c>
      <c r="J86" s="35"/>
    </row>
    <row r="87">
      <c r="B87" s="25"/>
      <c r="C87" s="25"/>
      <c r="D87" s="14" t="s">
        <v>107</v>
      </c>
      <c r="E87" s="14">
        <v>9.0</v>
      </c>
      <c r="F87" s="17">
        <v>18000.0</v>
      </c>
      <c r="G87" s="25">
        <f t="shared" si="1"/>
        <v>162000</v>
      </c>
      <c r="H87" s="25"/>
      <c r="I87" s="25">
        <f t="shared" si="2"/>
        <v>9</v>
      </c>
      <c r="J87" s="35"/>
    </row>
    <row r="88">
      <c r="B88" s="25"/>
      <c r="C88" s="25"/>
      <c r="D88" s="14" t="s">
        <v>68</v>
      </c>
      <c r="E88" s="14">
        <v>7.0</v>
      </c>
      <c r="F88" s="17">
        <v>13000.0</v>
      </c>
      <c r="G88" s="25">
        <f t="shared" si="1"/>
        <v>91000</v>
      </c>
      <c r="H88" s="25"/>
      <c r="I88" s="25">
        <f t="shared" si="2"/>
        <v>7</v>
      </c>
      <c r="J88" s="35"/>
    </row>
    <row r="89">
      <c r="B89" s="25"/>
      <c r="C89" s="25"/>
      <c r="D89" s="14" t="s">
        <v>72</v>
      </c>
      <c r="E89" s="14">
        <v>7.0</v>
      </c>
      <c r="F89" s="17">
        <v>13000.0</v>
      </c>
      <c r="G89" s="25">
        <f t="shared" si="1"/>
        <v>91000</v>
      </c>
      <c r="H89" s="25"/>
      <c r="I89" s="25">
        <f t="shared" si="2"/>
        <v>7</v>
      </c>
      <c r="J89" s="35"/>
    </row>
    <row r="90">
      <c r="B90" s="25"/>
      <c r="C90" s="25"/>
      <c r="D90" s="14" t="s">
        <v>94</v>
      </c>
      <c r="E90" s="14">
        <v>5.0</v>
      </c>
      <c r="F90" s="25"/>
      <c r="G90" s="25"/>
      <c r="H90" s="25"/>
      <c r="I90" s="25">
        <f t="shared" si="2"/>
        <v>5</v>
      </c>
      <c r="J90" s="35"/>
    </row>
    <row r="91">
      <c r="B91" s="25"/>
      <c r="C91" s="25"/>
      <c r="D91" s="14" t="s">
        <v>69</v>
      </c>
      <c r="E91" s="14">
        <v>5.0</v>
      </c>
      <c r="F91" s="17">
        <v>13000.0</v>
      </c>
      <c r="G91" s="25">
        <f t="shared" ref="G91:G108" si="4">E91*F91</f>
        <v>65000</v>
      </c>
      <c r="H91" s="25"/>
      <c r="I91" s="25">
        <f t="shared" si="2"/>
        <v>5</v>
      </c>
      <c r="J91" s="35"/>
    </row>
    <row r="92">
      <c r="B92" s="25"/>
      <c r="C92" s="25"/>
      <c r="D92" s="14" t="s">
        <v>109</v>
      </c>
      <c r="E92" s="14">
        <v>4.0</v>
      </c>
      <c r="F92" s="17">
        <v>18000.0</v>
      </c>
      <c r="G92" s="25">
        <f t="shared" si="4"/>
        <v>72000</v>
      </c>
      <c r="H92" s="25"/>
      <c r="I92" s="25">
        <f t="shared" si="2"/>
        <v>4</v>
      </c>
      <c r="J92" s="35"/>
    </row>
    <row r="93">
      <c r="B93" s="25"/>
      <c r="C93" s="25"/>
      <c r="D93" s="14" t="s">
        <v>89</v>
      </c>
      <c r="E93" s="14">
        <v>4.0</v>
      </c>
      <c r="F93" s="17">
        <v>15000.0</v>
      </c>
      <c r="G93" s="25">
        <f t="shared" si="4"/>
        <v>60000</v>
      </c>
      <c r="H93" s="25"/>
      <c r="I93" s="25">
        <f t="shared" si="2"/>
        <v>4</v>
      </c>
      <c r="J93" s="35"/>
    </row>
    <row r="94">
      <c r="B94" s="25"/>
      <c r="C94" s="25"/>
      <c r="D94" s="14" t="s">
        <v>104</v>
      </c>
      <c r="E94" s="14">
        <v>4.0</v>
      </c>
      <c r="F94" s="17">
        <v>15000.0</v>
      </c>
      <c r="G94" s="25">
        <f t="shared" si="4"/>
        <v>60000</v>
      </c>
      <c r="H94" s="25"/>
      <c r="I94" s="25">
        <f t="shared" si="2"/>
        <v>4</v>
      </c>
      <c r="J94" s="35"/>
    </row>
    <row r="95">
      <c r="B95" s="25"/>
      <c r="C95" s="25"/>
      <c r="D95" s="14" t="s">
        <v>102</v>
      </c>
      <c r="E95" s="14">
        <v>3.0</v>
      </c>
      <c r="F95" s="17">
        <v>25000.0</v>
      </c>
      <c r="G95" s="25">
        <f t="shared" si="4"/>
        <v>75000</v>
      </c>
      <c r="H95" s="25"/>
      <c r="I95" s="25">
        <f t="shared" si="2"/>
        <v>3</v>
      </c>
      <c r="J95" s="35"/>
    </row>
    <row r="96">
      <c r="B96" s="25"/>
      <c r="C96" s="25"/>
      <c r="D96" s="14" t="s">
        <v>113</v>
      </c>
      <c r="E96" s="14">
        <v>3.0</v>
      </c>
      <c r="F96" s="17">
        <v>35000.0</v>
      </c>
      <c r="G96" s="25">
        <f t="shared" si="4"/>
        <v>105000</v>
      </c>
      <c r="H96" s="25"/>
      <c r="I96" s="25">
        <f t="shared" si="2"/>
        <v>3</v>
      </c>
      <c r="J96" s="35"/>
    </row>
    <row r="97">
      <c r="B97" s="25"/>
      <c r="C97" s="25"/>
      <c r="D97" s="14" t="s">
        <v>53</v>
      </c>
      <c r="E97" s="14">
        <v>2.0</v>
      </c>
      <c r="F97" s="17">
        <v>15000.0</v>
      </c>
      <c r="G97" s="25">
        <f t="shared" si="4"/>
        <v>30000</v>
      </c>
      <c r="H97" s="25"/>
      <c r="I97" s="25">
        <f t="shared" si="2"/>
        <v>2</v>
      </c>
      <c r="J97" s="35"/>
    </row>
    <row r="98">
      <c r="B98" s="25"/>
      <c r="C98" s="25"/>
      <c r="D98" s="14" t="s">
        <v>59</v>
      </c>
      <c r="E98" s="14">
        <v>2.0</v>
      </c>
      <c r="F98" s="17">
        <v>10000.0</v>
      </c>
      <c r="G98" s="25">
        <f t="shared" si="4"/>
        <v>20000</v>
      </c>
      <c r="H98" s="25"/>
      <c r="I98" s="25">
        <f t="shared" si="2"/>
        <v>2</v>
      </c>
      <c r="J98" s="13"/>
    </row>
    <row r="99">
      <c r="B99" s="9" t="s">
        <v>47</v>
      </c>
      <c r="C99" s="91" t="s">
        <v>187</v>
      </c>
      <c r="D99" s="14" t="s">
        <v>17</v>
      </c>
      <c r="E99" s="14">
        <v>28.0</v>
      </c>
      <c r="F99" s="17">
        <v>18000.0</v>
      </c>
      <c r="G99" s="25">
        <f t="shared" si="4"/>
        <v>504000</v>
      </c>
      <c r="H99" s="25"/>
      <c r="I99" s="25">
        <f t="shared" si="2"/>
        <v>28</v>
      </c>
      <c r="J99" s="29">
        <f>sum(I99:I118)</f>
        <v>170</v>
      </c>
    </row>
    <row r="100">
      <c r="B100" s="25"/>
      <c r="C100" s="25"/>
      <c r="D100" s="14" t="s">
        <v>56</v>
      </c>
      <c r="E100" s="14">
        <v>22.0</v>
      </c>
      <c r="F100" s="17">
        <v>15000.0</v>
      </c>
      <c r="G100" s="25">
        <f t="shared" si="4"/>
        <v>330000</v>
      </c>
      <c r="H100" s="25"/>
      <c r="I100" s="25">
        <f t="shared" si="2"/>
        <v>22</v>
      </c>
      <c r="J100" s="35"/>
    </row>
    <row r="101">
      <c r="B101" s="25"/>
      <c r="C101" s="25"/>
      <c r="D101" s="14" t="s">
        <v>60</v>
      </c>
      <c r="E101" s="14">
        <v>21.0</v>
      </c>
      <c r="F101" s="17">
        <v>15000.0</v>
      </c>
      <c r="G101" s="25">
        <f t="shared" si="4"/>
        <v>315000</v>
      </c>
      <c r="H101" s="25"/>
      <c r="I101" s="25">
        <f t="shared" si="2"/>
        <v>21</v>
      </c>
      <c r="J101" s="35"/>
    </row>
    <row r="102">
      <c r="B102" s="25"/>
      <c r="C102" s="25"/>
      <c r="D102" s="14" t="s">
        <v>65</v>
      </c>
      <c r="E102" s="14">
        <v>16.0</v>
      </c>
      <c r="F102" s="17">
        <v>13000.0</v>
      </c>
      <c r="G102" s="25">
        <f t="shared" si="4"/>
        <v>208000</v>
      </c>
      <c r="H102" s="25"/>
      <c r="I102" s="25">
        <f t="shared" si="2"/>
        <v>16</v>
      </c>
      <c r="J102" s="35"/>
    </row>
    <row r="103">
      <c r="B103" s="25"/>
      <c r="C103" s="25"/>
      <c r="D103" s="14" t="s">
        <v>69</v>
      </c>
      <c r="E103" s="14">
        <v>15.0</v>
      </c>
      <c r="F103" s="17">
        <v>13000.0</v>
      </c>
      <c r="G103" s="25">
        <f t="shared" si="4"/>
        <v>195000</v>
      </c>
      <c r="H103" s="25"/>
      <c r="I103" s="25">
        <f t="shared" si="2"/>
        <v>15</v>
      </c>
      <c r="J103" s="35"/>
    </row>
    <row r="104">
      <c r="B104" s="25"/>
      <c r="C104" s="25"/>
      <c r="D104" s="14" t="s">
        <v>77</v>
      </c>
      <c r="E104" s="14">
        <v>13.0</v>
      </c>
      <c r="F104" s="17">
        <v>15000.0</v>
      </c>
      <c r="G104" s="25">
        <f t="shared" si="4"/>
        <v>195000</v>
      </c>
      <c r="H104" s="25"/>
      <c r="I104" s="25">
        <f t="shared" si="2"/>
        <v>13</v>
      </c>
      <c r="J104" s="35"/>
    </row>
    <row r="105">
      <c r="B105" s="25"/>
      <c r="C105" s="25"/>
      <c r="D105" s="14" t="s">
        <v>181</v>
      </c>
      <c r="E105" s="14">
        <v>11.0</v>
      </c>
      <c r="F105" s="17">
        <v>10000.0</v>
      </c>
      <c r="G105" s="25">
        <f t="shared" si="4"/>
        <v>110000</v>
      </c>
      <c r="H105" s="25"/>
      <c r="I105" s="25">
        <f t="shared" si="2"/>
        <v>11</v>
      </c>
      <c r="J105" s="35"/>
    </row>
    <row r="106">
      <c r="B106" s="25"/>
      <c r="C106" s="25"/>
      <c r="D106" s="14" t="s">
        <v>62</v>
      </c>
      <c r="E106" s="14">
        <v>6.0</v>
      </c>
      <c r="F106" s="17">
        <v>15000.0</v>
      </c>
      <c r="G106" s="25">
        <f t="shared" si="4"/>
        <v>90000</v>
      </c>
      <c r="H106" s="25"/>
      <c r="I106" s="25">
        <f t="shared" si="2"/>
        <v>6</v>
      </c>
      <c r="J106" s="35"/>
    </row>
    <row r="107">
      <c r="B107" s="25"/>
      <c r="C107" s="25"/>
      <c r="D107" s="14" t="s">
        <v>53</v>
      </c>
      <c r="E107" s="14">
        <v>5.0</v>
      </c>
      <c r="F107" s="17">
        <v>15000.0</v>
      </c>
      <c r="G107" s="25">
        <f t="shared" si="4"/>
        <v>75000</v>
      </c>
      <c r="H107" s="25"/>
      <c r="I107" s="25">
        <f t="shared" si="2"/>
        <v>5</v>
      </c>
      <c r="J107" s="35"/>
    </row>
    <row r="108">
      <c r="B108" s="25"/>
      <c r="C108" s="25"/>
      <c r="D108" s="14" t="s">
        <v>72</v>
      </c>
      <c r="E108" s="14">
        <v>5.0</v>
      </c>
      <c r="F108" s="17">
        <v>13000.0</v>
      </c>
      <c r="G108" s="25">
        <f t="shared" si="4"/>
        <v>65000</v>
      </c>
      <c r="H108" s="25"/>
      <c r="I108" s="25">
        <f t="shared" si="2"/>
        <v>5</v>
      </c>
      <c r="J108" s="35"/>
    </row>
    <row r="109">
      <c r="B109" s="25"/>
      <c r="C109" s="25"/>
      <c r="D109" s="14" t="s">
        <v>94</v>
      </c>
      <c r="E109" s="14">
        <v>5.0</v>
      </c>
      <c r="F109" s="25"/>
      <c r="G109" s="25"/>
      <c r="H109" s="25"/>
      <c r="I109" s="25">
        <f t="shared" si="2"/>
        <v>5</v>
      </c>
      <c r="J109" s="35"/>
    </row>
    <row r="110">
      <c r="B110" s="25"/>
      <c r="C110" s="25"/>
      <c r="D110" s="14" t="s">
        <v>102</v>
      </c>
      <c r="E110" s="14">
        <v>4.0</v>
      </c>
      <c r="F110" s="17">
        <v>25000.0</v>
      </c>
      <c r="G110" s="25">
        <f t="shared" ref="G110:G112" si="5">E110*F110</f>
        <v>100000</v>
      </c>
      <c r="H110" s="25"/>
      <c r="I110" s="25">
        <f t="shared" si="2"/>
        <v>4</v>
      </c>
      <c r="J110" s="35"/>
    </row>
    <row r="111">
      <c r="B111" s="25"/>
      <c r="C111" s="25"/>
      <c r="D111" s="14" t="s">
        <v>28</v>
      </c>
      <c r="E111" s="14">
        <v>4.0</v>
      </c>
      <c r="F111" s="17">
        <v>15000.0</v>
      </c>
      <c r="G111" s="25">
        <f t="shared" si="5"/>
        <v>60000</v>
      </c>
      <c r="H111" s="25"/>
      <c r="I111" s="25">
        <f t="shared" si="2"/>
        <v>4</v>
      </c>
      <c r="J111" s="35"/>
    </row>
    <row r="112">
      <c r="B112" s="25"/>
      <c r="C112" s="25"/>
      <c r="D112" s="14" t="s">
        <v>101</v>
      </c>
      <c r="E112" s="14">
        <v>4.0</v>
      </c>
      <c r="F112" s="17">
        <v>13000.0</v>
      </c>
      <c r="G112" s="25">
        <f t="shared" si="5"/>
        <v>52000</v>
      </c>
      <c r="H112" s="25"/>
      <c r="I112" s="25">
        <f t="shared" si="2"/>
        <v>4</v>
      </c>
      <c r="J112" s="35"/>
    </row>
    <row r="113">
      <c r="B113" s="25"/>
      <c r="C113" s="25"/>
      <c r="D113" s="14" t="s">
        <v>59</v>
      </c>
      <c r="E113" s="14">
        <v>3.0</v>
      </c>
      <c r="F113" s="25"/>
      <c r="G113" s="25"/>
      <c r="H113" s="25"/>
      <c r="I113" s="25">
        <f t="shared" si="2"/>
        <v>3</v>
      </c>
      <c r="J113" s="35"/>
    </row>
    <row r="114">
      <c r="B114" s="25"/>
      <c r="C114" s="25"/>
      <c r="D114" s="14" t="s">
        <v>107</v>
      </c>
      <c r="E114" s="14">
        <v>2.0</v>
      </c>
      <c r="F114" s="17">
        <v>18000.0</v>
      </c>
      <c r="G114" s="25">
        <f t="shared" ref="G114:G116" si="6">E114*F114</f>
        <v>36000</v>
      </c>
      <c r="H114" s="25"/>
      <c r="I114" s="25">
        <f t="shared" si="2"/>
        <v>2</v>
      </c>
      <c r="J114" s="35"/>
    </row>
    <row r="115">
      <c r="B115" s="25"/>
      <c r="C115" s="25"/>
      <c r="D115" s="14" t="s">
        <v>104</v>
      </c>
      <c r="E115" s="14">
        <v>2.0</v>
      </c>
      <c r="F115" s="17">
        <v>15000.0</v>
      </c>
      <c r="G115" s="25">
        <f t="shared" si="6"/>
        <v>30000</v>
      </c>
      <c r="H115" s="25"/>
      <c r="I115" s="25">
        <f t="shared" si="2"/>
        <v>2</v>
      </c>
      <c r="J115" s="35"/>
    </row>
    <row r="116">
      <c r="B116" s="25"/>
      <c r="C116" s="25"/>
      <c r="D116" s="14" t="s">
        <v>71</v>
      </c>
      <c r="E116" s="14">
        <v>2.0</v>
      </c>
      <c r="F116" s="17">
        <v>18000.0</v>
      </c>
      <c r="G116" s="25">
        <f t="shared" si="6"/>
        <v>36000</v>
      </c>
      <c r="H116" s="25"/>
      <c r="I116" s="25">
        <f t="shared" si="2"/>
        <v>2</v>
      </c>
      <c r="J116" s="35"/>
    </row>
    <row r="117">
      <c r="B117" s="25"/>
      <c r="C117" s="25"/>
      <c r="D117" s="14" t="s">
        <v>188</v>
      </c>
      <c r="E117" s="14">
        <v>1.0</v>
      </c>
      <c r="F117" s="25"/>
      <c r="G117" s="25"/>
      <c r="H117" s="25"/>
      <c r="I117" s="25">
        <f t="shared" si="2"/>
        <v>1</v>
      </c>
      <c r="J117" s="35"/>
    </row>
    <row r="118">
      <c r="B118" s="25"/>
      <c r="C118" s="25"/>
      <c r="D118" s="14" t="s">
        <v>89</v>
      </c>
      <c r="E118" s="14">
        <v>1.0</v>
      </c>
      <c r="F118" s="17">
        <v>15000.0</v>
      </c>
      <c r="G118" s="25">
        <f t="shared" ref="G118:G132" si="7">E118*F118</f>
        <v>15000</v>
      </c>
      <c r="H118" s="25"/>
      <c r="I118" s="25">
        <f t="shared" si="2"/>
        <v>1</v>
      </c>
      <c r="J118" s="13"/>
    </row>
    <row r="119">
      <c r="B119" s="9" t="s">
        <v>122</v>
      </c>
      <c r="C119" s="91" t="s">
        <v>189</v>
      </c>
      <c r="D119" s="14" t="s">
        <v>65</v>
      </c>
      <c r="E119" s="14">
        <v>28.0</v>
      </c>
      <c r="F119" s="17">
        <v>13000.0</v>
      </c>
      <c r="G119" s="25">
        <f t="shared" si="7"/>
        <v>364000</v>
      </c>
      <c r="H119" s="25"/>
      <c r="I119" s="25">
        <f t="shared" si="2"/>
        <v>28</v>
      </c>
      <c r="J119" s="29">
        <f>sum(I119:I137)</f>
        <v>173</v>
      </c>
    </row>
    <row r="120">
      <c r="B120" s="25"/>
      <c r="C120" s="25"/>
      <c r="D120" s="14" t="s">
        <v>17</v>
      </c>
      <c r="E120" s="14">
        <v>24.0</v>
      </c>
      <c r="F120" s="17">
        <v>18000.0</v>
      </c>
      <c r="G120" s="25">
        <f t="shared" si="7"/>
        <v>432000</v>
      </c>
      <c r="H120" s="25"/>
      <c r="I120" s="25">
        <f t="shared" si="2"/>
        <v>24</v>
      </c>
      <c r="J120" s="35"/>
    </row>
    <row r="121">
      <c r="B121" s="25"/>
      <c r="C121" s="25"/>
      <c r="D121" s="14" t="s">
        <v>56</v>
      </c>
      <c r="E121" s="14">
        <v>23.0</v>
      </c>
      <c r="F121" s="17">
        <v>15000.0</v>
      </c>
      <c r="G121" s="25">
        <f t="shared" si="7"/>
        <v>345000</v>
      </c>
      <c r="H121" s="25"/>
      <c r="I121" s="25">
        <f t="shared" si="2"/>
        <v>23</v>
      </c>
      <c r="J121" s="35"/>
    </row>
    <row r="122">
      <c r="B122" s="25"/>
      <c r="C122" s="25"/>
      <c r="D122" s="14" t="s">
        <v>60</v>
      </c>
      <c r="E122" s="14">
        <v>18.0</v>
      </c>
      <c r="F122" s="17">
        <v>15000.0</v>
      </c>
      <c r="G122" s="25">
        <f t="shared" si="7"/>
        <v>270000</v>
      </c>
      <c r="H122" s="25"/>
      <c r="I122" s="25">
        <f t="shared" si="2"/>
        <v>18</v>
      </c>
      <c r="J122" s="35"/>
    </row>
    <row r="123">
      <c r="B123" s="25"/>
      <c r="C123" s="25"/>
      <c r="D123" s="14" t="s">
        <v>104</v>
      </c>
      <c r="E123" s="14">
        <v>10.0</v>
      </c>
      <c r="F123" s="17">
        <v>15000.0</v>
      </c>
      <c r="G123" s="25">
        <f t="shared" si="7"/>
        <v>150000</v>
      </c>
      <c r="H123" s="25"/>
      <c r="I123" s="25">
        <f t="shared" si="2"/>
        <v>10</v>
      </c>
      <c r="J123" s="35"/>
    </row>
    <row r="124">
      <c r="B124" s="25"/>
      <c r="C124" s="25"/>
      <c r="D124" s="14" t="s">
        <v>69</v>
      </c>
      <c r="E124" s="14">
        <v>10.0</v>
      </c>
      <c r="F124" s="17">
        <v>13000.0</v>
      </c>
      <c r="G124" s="25">
        <f t="shared" si="7"/>
        <v>130000</v>
      </c>
      <c r="H124" s="25"/>
      <c r="I124" s="25">
        <f t="shared" si="2"/>
        <v>10</v>
      </c>
      <c r="J124" s="35"/>
    </row>
    <row r="125">
      <c r="B125" s="25"/>
      <c r="C125" s="25"/>
      <c r="D125" s="14" t="s">
        <v>71</v>
      </c>
      <c r="E125" s="14">
        <v>9.0</v>
      </c>
      <c r="F125" s="17">
        <v>18000.0</v>
      </c>
      <c r="G125" s="25">
        <f t="shared" si="7"/>
        <v>162000</v>
      </c>
      <c r="H125" s="25"/>
      <c r="I125" s="25">
        <f t="shared" si="2"/>
        <v>9</v>
      </c>
      <c r="J125" s="35"/>
    </row>
    <row r="126">
      <c r="B126" s="25"/>
      <c r="C126" s="25"/>
      <c r="D126" s="14" t="s">
        <v>101</v>
      </c>
      <c r="E126" s="14">
        <v>8.0</v>
      </c>
      <c r="F126" s="17">
        <v>13000.0</v>
      </c>
      <c r="G126" s="25">
        <f t="shared" si="7"/>
        <v>104000</v>
      </c>
      <c r="H126" s="25"/>
      <c r="I126" s="25">
        <f t="shared" si="2"/>
        <v>8</v>
      </c>
      <c r="J126" s="35"/>
    </row>
    <row r="127">
      <c r="B127" s="25"/>
      <c r="C127" s="25"/>
      <c r="D127" s="14" t="s">
        <v>72</v>
      </c>
      <c r="E127" s="14">
        <v>8.0</v>
      </c>
      <c r="F127" s="17">
        <v>13000.0</v>
      </c>
      <c r="G127" s="25">
        <f t="shared" si="7"/>
        <v>104000</v>
      </c>
      <c r="H127" s="25"/>
      <c r="I127" s="25">
        <f t="shared" si="2"/>
        <v>8</v>
      </c>
      <c r="J127" s="35"/>
    </row>
    <row r="128">
      <c r="B128" s="25"/>
      <c r="C128" s="25"/>
      <c r="D128" s="14" t="s">
        <v>77</v>
      </c>
      <c r="E128" s="14">
        <v>8.0</v>
      </c>
      <c r="F128" s="17">
        <v>15000.0</v>
      </c>
      <c r="G128" s="25">
        <f t="shared" si="7"/>
        <v>120000</v>
      </c>
      <c r="H128" s="25"/>
      <c r="I128" s="25">
        <f t="shared" si="2"/>
        <v>8</v>
      </c>
      <c r="J128" s="35"/>
    </row>
    <row r="129">
      <c r="B129" s="25"/>
      <c r="C129" s="25"/>
      <c r="D129" s="14" t="s">
        <v>28</v>
      </c>
      <c r="E129" s="14">
        <v>7.0</v>
      </c>
      <c r="F129" s="17">
        <v>15000.0</v>
      </c>
      <c r="G129" s="25">
        <f t="shared" si="7"/>
        <v>105000</v>
      </c>
      <c r="H129" s="25"/>
      <c r="I129" s="25">
        <f t="shared" si="2"/>
        <v>7</v>
      </c>
      <c r="J129" s="35"/>
    </row>
    <row r="130">
      <c r="B130" s="25"/>
      <c r="C130" s="25"/>
      <c r="D130" s="14" t="s">
        <v>89</v>
      </c>
      <c r="E130" s="14">
        <v>5.0</v>
      </c>
      <c r="F130" s="17">
        <v>15000.0</v>
      </c>
      <c r="G130" s="25">
        <f t="shared" si="7"/>
        <v>75000</v>
      </c>
      <c r="H130" s="25"/>
      <c r="I130" s="25">
        <f t="shared" si="2"/>
        <v>5</v>
      </c>
      <c r="J130" s="35"/>
    </row>
    <row r="131">
      <c r="B131" s="25"/>
      <c r="C131" s="25"/>
      <c r="D131" s="14" t="s">
        <v>181</v>
      </c>
      <c r="E131" s="14">
        <v>5.0</v>
      </c>
      <c r="F131" s="17">
        <v>10000.0</v>
      </c>
      <c r="G131" s="25">
        <f t="shared" si="7"/>
        <v>50000</v>
      </c>
      <c r="H131" s="25"/>
      <c r="I131" s="25">
        <f t="shared" si="2"/>
        <v>5</v>
      </c>
      <c r="J131" s="35"/>
    </row>
    <row r="132">
      <c r="B132" s="25"/>
      <c r="C132" s="25"/>
      <c r="D132" s="14" t="s">
        <v>62</v>
      </c>
      <c r="E132" s="14">
        <v>4.0</v>
      </c>
      <c r="F132" s="17">
        <v>15000.0</v>
      </c>
      <c r="G132" s="25">
        <f t="shared" si="7"/>
        <v>60000</v>
      </c>
      <c r="H132" s="25"/>
      <c r="I132" s="25">
        <f t="shared" si="2"/>
        <v>4</v>
      </c>
      <c r="J132" s="35"/>
    </row>
    <row r="133">
      <c r="B133" s="25"/>
      <c r="C133" s="25"/>
      <c r="D133" s="14" t="s">
        <v>94</v>
      </c>
      <c r="E133" s="14">
        <v>2.0</v>
      </c>
      <c r="F133" s="25"/>
      <c r="G133" s="25"/>
      <c r="H133" s="25"/>
      <c r="I133" s="25">
        <f t="shared" si="2"/>
        <v>2</v>
      </c>
      <c r="J133" s="35"/>
    </row>
    <row r="134">
      <c r="B134" s="25"/>
      <c r="C134" s="25"/>
      <c r="D134" s="14" t="s">
        <v>68</v>
      </c>
      <c r="E134" s="14">
        <v>1.0</v>
      </c>
      <c r="F134" s="17">
        <v>13000.0</v>
      </c>
      <c r="G134" s="25">
        <f>E134*F134</f>
        <v>13000</v>
      </c>
      <c r="H134" s="25"/>
      <c r="I134" s="25">
        <f t="shared" si="2"/>
        <v>1</v>
      </c>
      <c r="J134" s="35"/>
    </row>
    <row r="135">
      <c r="B135" s="25"/>
      <c r="C135" s="25"/>
      <c r="D135" s="14" t="s">
        <v>125</v>
      </c>
      <c r="E135" s="14">
        <v>1.0</v>
      </c>
      <c r="F135" s="25"/>
      <c r="G135" s="25"/>
      <c r="H135" s="25"/>
      <c r="I135" s="25">
        <f t="shared" si="2"/>
        <v>1</v>
      </c>
      <c r="J135" s="35"/>
    </row>
    <row r="136">
      <c r="B136" s="25"/>
      <c r="C136" s="25"/>
      <c r="D136" s="14" t="s">
        <v>102</v>
      </c>
      <c r="E136" s="14">
        <v>1.0</v>
      </c>
      <c r="F136" s="17">
        <v>25000.0</v>
      </c>
      <c r="G136" s="25">
        <f t="shared" ref="G136:G137" si="8">E136*F136</f>
        <v>25000</v>
      </c>
      <c r="H136" s="25"/>
      <c r="I136" s="25">
        <f t="shared" si="2"/>
        <v>1</v>
      </c>
      <c r="J136" s="35"/>
    </row>
    <row r="137">
      <c r="B137" s="25"/>
      <c r="C137" s="25"/>
      <c r="D137" s="14" t="s">
        <v>113</v>
      </c>
      <c r="E137" s="14">
        <v>1.0</v>
      </c>
      <c r="F137" s="17">
        <v>35000.0</v>
      </c>
      <c r="G137" s="25">
        <f t="shared" si="8"/>
        <v>35000</v>
      </c>
      <c r="H137" s="25"/>
      <c r="I137" s="25">
        <f t="shared" si="2"/>
        <v>1</v>
      </c>
      <c r="J137" s="13"/>
    </row>
    <row r="138">
      <c r="B138" s="62"/>
      <c r="C138" s="62"/>
      <c r="D138" s="62"/>
      <c r="E138" s="62"/>
      <c r="F138" s="62"/>
      <c r="G138" s="62"/>
      <c r="H138" s="62"/>
      <c r="I138" s="62"/>
    </row>
    <row r="139">
      <c r="B139" s="62"/>
      <c r="C139" s="62"/>
      <c r="D139" s="62"/>
      <c r="E139" s="62"/>
      <c r="F139" s="62"/>
      <c r="G139" s="62"/>
      <c r="H139" s="62"/>
      <c r="I139" s="62"/>
    </row>
    <row r="140">
      <c r="B140" s="62"/>
      <c r="C140" s="62"/>
      <c r="D140" s="62"/>
      <c r="E140" s="62"/>
      <c r="F140" s="62"/>
      <c r="G140" s="62"/>
      <c r="H140" s="62"/>
      <c r="I140" s="62"/>
    </row>
    <row r="141">
      <c r="B141" s="62"/>
      <c r="C141" s="62"/>
      <c r="D141" s="62"/>
      <c r="E141" s="62"/>
      <c r="F141" s="62"/>
      <c r="G141" s="62"/>
      <c r="H141" s="62"/>
      <c r="I141" s="62"/>
    </row>
    <row r="142">
      <c r="B142" s="62"/>
      <c r="C142" s="62"/>
      <c r="D142" s="62"/>
      <c r="E142" s="62"/>
      <c r="F142" s="62"/>
      <c r="G142" s="62"/>
      <c r="H142" s="62"/>
      <c r="I142" s="62"/>
    </row>
    <row r="143">
      <c r="B143" s="62"/>
      <c r="C143" s="62"/>
      <c r="D143" s="62"/>
      <c r="E143" s="62"/>
      <c r="F143" s="62"/>
      <c r="G143" s="62"/>
      <c r="H143" s="62"/>
      <c r="I143" s="62"/>
    </row>
    <row r="144">
      <c r="B144" s="62"/>
      <c r="C144" s="62"/>
      <c r="D144" s="62"/>
      <c r="E144" s="62"/>
      <c r="F144" s="62"/>
      <c r="G144" s="62"/>
      <c r="H144" s="62"/>
      <c r="I144" s="62"/>
    </row>
    <row r="145">
      <c r="B145" s="62"/>
      <c r="C145" s="62"/>
      <c r="D145" s="62"/>
      <c r="E145" s="62"/>
      <c r="F145" s="62"/>
      <c r="G145" s="62"/>
      <c r="H145" s="62"/>
      <c r="I145" s="62"/>
    </row>
    <row r="146">
      <c r="B146" s="62"/>
      <c r="C146" s="62"/>
      <c r="D146" s="62"/>
      <c r="E146" s="62"/>
      <c r="F146" s="62"/>
      <c r="G146" s="62"/>
      <c r="H146" s="62"/>
      <c r="I146" s="62"/>
    </row>
    <row r="147">
      <c r="B147" s="62"/>
      <c r="C147" s="62"/>
      <c r="D147" s="62"/>
      <c r="E147" s="62"/>
      <c r="F147" s="62"/>
      <c r="G147" s="62"/>
      <c r="H147" s="62"/>
      <c r="I147" s="62"/>
    </row>
    <row r="148">
      <c r="B148" s="62"/>
      <c r="C148" s="62"/>
      <c r="D148" s="62"/>
      <c r="E148" s="62"/>
      <c r="F148" s="62"/>
      <c r="G148" s="62"/>
      <c r="H148" s="62"/>
      <c r="I148" s="62"/>
    </row>
    <row r="149">
      <c r="B149" s="62"/>
      <c r="C149" s="62"/>
      <c r="D149" s="62"/>
      <c r="E149" s="62"/>
      <c r="F149" s="62"/>
      <c r="G149" s="62"/>
      <c r="H149" s="62"/>
      <c r="I149" s="62"/>
    </row>
    <row r="150">
      <c r="B150" s="62"/>
      <c r="C150" s="62"/>
      <c r="D150" s="62"/>
      <c r="E150" s="62"/>
      <c r="F150" s="62"/>
      <c r="G150" s="62"/>
      <c r="H150" s="62"/>
      <c r="I150" s="62"/>
    </row>
    <row r="151">
      <c r="B151" s="62"/>
      <c r="C151" s="62"/>
      <c r="D151" s="62"/>
      <c r="E151" s="62"/>
      <c r="F151" s="62"/>
      <c r="G151" s="62"/>
      <c r="H151" s="62"/>
      <c r="I151" s="62"/>
    </row>
    <row r="152">
      <c r="B152" s="62"/>
      <c r="C152" s="62"/>
      <c r="D152" s="62"/>
      <c r="E152" s="62"/>
      <c r="F152" s="62"/>
      <c r="G152" s="62"/>
      <c r="H152" s="62"/>
      <c r="I152" s="62"/>
    </row>
    <row r="153">
      <c r="B153" s="62"/>
      <c r="C153" s="62"/>
      <c r="D153" s="62"/>
      <c r="E153" s="62"/>
      <c r="F153" s="62"/>
      <c r="G153" s="62"/>
      <c r="H153" s="62"/>
      <c r="I153" s="62"/>
    </row>
    <row r="154">
      <c r="B154" s="62"/>
      <c r="C154" s="62"/>
      <c r="D154" s="62"/>
      <c r="E154" s="62"/>
      <c r="F154" s="62"/>
      <c r="G154" s="62"/>
      <c r="H154" s="62"/>
      <c r="I154" s="62"/>
    </row>
    <row r="155">
      <c r="B155" s="62"/>
      <c r="C155" s="62"/>
      <c r="D155" s="62"/>
      <c r="E155" s="62"/>
      <c r="F155" s="62"/>
      <c r="G155" s="62"/>
      <c r="H155" s="62"/>
      <c r="I155" s="62"/>
    </row>
    <row r="156">
      <c r="B156" s="62"/>
      <c r="C156" s="62"/>
      <c r="D156" s="62"/>
      <c r="E156" s="62"/>
      <c r="F156" s="62"/>
      <c r="G156" s="62"/>
      <c r="H156" s="62"/>
      <c r="I156" s="62"/>
    </row>
    <row r="157">
      <c r="B157" s="62"/>
      <c r="C157" s="62"/>
      <c r="D157" s="62"/>
      <c r="E157" s="62"/>
      <c r="F157" s="62"/>
      <c r="G157" s="62"/>
      <c r="H157" s="62"/>
      <c r="I157" s="62"/>
    </row>
    <row r="158">
      <c r="B158" s="62"/>
      <c r="C158" s="62"/>
      <c r="D158" s="62"/>
      <c r="E158" s="62"/>
      <c r="F158" s="62"/>
      <c r="G158" s="62"/>
      <c r="H158" s="62"/>
      <c r="I158" s="62"/>
    </row>
    <row r="159">
      <c r="B159" s="62"/>
      <c r="C159" s="62"/>
      <c r="D159" s="62"/>
      <c r="E159" s="62"/>
      <c r="F159" s="62"/>
      <c r="G159" s="62"/>
      <c r="H159" s="62"/>
      <c r="I159" s="62"/>
    </row>
    <row r="160">
      <c r="B160" s="62"/>
      <c r="C160" s="62"/>
      <c r="D160" s="62"/>
      <c r="E160" s="62"/>
      <c r="F160" s="62"/>
      <c r="G160" s="62"/>
      <c r="H160" s="62"/>
      <c r="I160" s="62"/>
    </row>
    <row r="161">
      <c r="B161" s="62"/>
      <c r="C161" s="62"/>
      <c r="D161" s="62"/>
      <c r="E161" s="62"/>
      <c r="F161" s="62"/>
      <c r="G161" s="62"/>
      <c r="H161" s="62"/>
      <c r="I161" s="62"/>
    </row>
    <row r="162">
      <c r="B162" s="62"/>
      <c r="C162" s="62"/>
      <c r="D162" s="62"/>
      <c r="E162" s="62"/>
      <c r="F162" s="62"/>
      <c r="G162" s="62"/>
      <c r="H162" s="62"/>
      <c r="I162" s="62"/>
    </row>
    <row r="163">
      <c r="B163" s="62"/>
      <c r="C163" s="62"/>
      <c r="D163" s="62"/>
      <c r="E163" s="62"/>
      <c r="F163" s="62"/>
      <c r="G163" s="62"/>
      <c r="H163" s="62"/>
      <c r="I163" s="62"/>
    </row>
    <row r="164">
      <c r="B164" s="62"/>
      <c r="C164" s="62"/>
      <c r="D164" s="62"/>
      <c r="E164" s="62"/>
      <c r="F164" s="62"/>
      <c r="G164" s="62"/>
      <c r="H164" s="62"/>
      <c r="I164" s="62"/>
    </row>
    <row r="165">
      <c r="B165" s="62"/>
      <c r="C165" s="62"/>
      <c r="D165" s="62"/>
      <c r="E165" s="62"/>
      <c r="F165" s="62"/>
      <c r="G165" s="62"/>
      <c r="H165" s="62"/>
      <c r="I165" s="62"/>
    </row>
    <row r="166">
      <c r="B166" s="62"/>
      <c r="C166" s="62"/>
      <c r="D166" s="62"/>
      <c r="E166" s="62"/>
      <c r="F166" s="62"/>
      <c r="G166" s="62"/>
      <c r="H166" s="62"/>
      <c r="I166" s="62"/>
    </row>
    <row r="167">
      <c r="B167" s="62"/>
      <c r="C167" s="62"/>
      <c r="D167" s="62"/>
      <c r="E167" s="62"/>
      <c r="F167" s="62"/>
      <c r="G167" s="62"/>
      <c r="H167" s="62"/>
      <c r="I167" s="62"/>
    </row>
    <row r="168">
      <c r="B168" s="62"/>
      <c r="C168" s="62"/>
      <c r="D168" s="62"/>
      <c r="E168" s="62"/>
      <c r="F168" s="62"/>
      <c r="G168" s="62"/>
      <c r="H168" s="62"/>
      <c r="I168" s="62"/>
    </row>
    <row r="169">
      <c r="B169" s="62"/>
      <c r="C169" s="62"/>
      <c r="D169" s="62"/>
      <c r="E169" s="62"/>
      <c r="F169" s="62"/>
      <c r="G169" s="62"/>
      <c r="H169" s="62"/>
      <c r="I169" s="62"/>
    </row>
    <row r="170">
      <c r="B170" s="62"/>
      <c r="C170" s="62"/>
      <c r="D170" s="62"/>
      <c r="E170" s="62"/>
      <c r="F170" s="62"/>
      <c r="G170" s="62"/>
      <c r="H170" s="62"/>
      <c r="I170" s="62"/>
    </row>
    <row r="171">
      <c r="B171" s="62"/>
      <c r="C171" s="62"/>
      <c r="D171" s="62"/>
      <c r="E171" s="62"/>
      <c r="F171" s="62"/>
      <c r="G171" s="62"/>
      <c r="H171" s="62"/>
      <c r="I171" s="62"/>
    </row>
    <row r="172">
      <c r="B172" s="62"/>
      <c r="C172" s="62"/>
      <c r="D172" s="62"/>
      <c r="E172" s="62"/>
      <c r="F172" s="62"/>
      <c r="G172" s="62"/>
      <c r="H172" s="62"/>
      <c r="I172" s="62"/>
    </row>
  </sheetData>
  <mergeCells count="7">
    <mergeCell ref="J4:J16"/>
    <mergeCell ref="J17:J35"/>
    <mergeCell ref="J36:J54"/>
    <mergeCell ref="J55:J76"/>
    <mergeCell ref="J77:J98"/>
    <mergeCell ref="J99:J118"/>
    <mergeCell ref="J119:J1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7.57"/>
    <col customWidth="1" min="3" max="3" width="18.0"/>
    <col customWidth="1" min="4" max="4" width="23.14"/>
    <col customWidth="1" min="6" max="6" width="17.71"/>
    <col customWidth="1" min="7" max="7" width="17.0"/>
    <col customWidth="1" min="8" max="8" width="16.71"/>
    <col customWidth="1" min="9" max="9" width="15.29"/>
    <col customWidth="1" min="10" max="10" width="19.14"/>
    <col customWidth="1" min="16" max="16" width="17.57"/>
    <col customWidth="1" min="21" max="21" width="20.29"/>
  </cols>
  <sheetData>
    <row r="2">
      <c r="M2" s="50" t="s">
        <v>18</v>
      </c>
      <c r="N2" s="52">
        <v>1000.0</v>
      </c>
    </row>
    <row r="3">
      <c r="B3" s="3" t="s">
        <v>1</v>
      </c>
      <c r="C3" s="3" t="s">
        <v>4</v>
      </c>
      <c r="D3" s="3" t="s">
        <v>5</v>
      </c>
      <c r="E3" s="3" t="s">
        <v>7</v>
      </c>
      <c r="F3" s="3" t="s">
        <v>8</v>
      </c>
      <c r="G3" s="3" t="s">
        <v>9</v>
      </c>
      <c r="H3" s="9" t="s">
        <v>16</v>
      </c>
      <c r="I3" s="3" t="s">
        <v>12</v>
      </c>
      <c r="J3" s="3" t="s">
        <v>13</v>
      </c>
      <c r="M3" s="50" t="s">
        <v>48</v>
      </c>
      <c r="N3" s="53">
        <v>500.0</v>
      </c>
    </row>
    <row r="4">
      <c r="B4" s="9" t="s">
        <v>14</v>
      </c>
      <c r="C4" s="54" t="s">
        <v>80</v>
      </c>
      <c r="D4" s="14" t="s">
        <v>56</v>
      </c>
      <c r="E4" s="14">
        <v>17.0</v>
      </c>
      <c r="F4" s="25"/>
      <c r="G4" s="25"/>
      <c r="H4" s="25"/>
      <c r="I4" s="25">
        <f t="shared" ref="I4:I148" si="1">E4-H4</f>
        <v>17</v>
      </c>
      <c r="J4" s="29">
        <f>SUM(I4:I21)</f>
        <v>123</v>
      </c>
      <c r="P4" s="55" t="s">
        <v>49</v>
      </c>
      <c r="Q4" s="56" t="s">
        <v>50</v>
      </c>
      <c r="R4" s="56" t="s">
        <v>51</v>
      </c>
      <c r="S4" s="56" t="s">
        <v>9</v>
      </c>
      <c r="U4" s="57" t="s">
        <v>81</v>
      </c>
    </row>
    <row r="5">
      <c r="B5" s="25"/>
      <c r="C5" s="25"/>
      <c r="D5" s="14" t="s">
        <v>17</v>
      </c>
      <c r="E5" s="14">
        <v>15.0</v>
      </c>
      <c r="F5" s="25"/>
      <c r="G5" s="25"/>
      <c r="H5" s="25"/>
      <c r="I5" s="25">
        <f t="shared" si="1"/>
        <v>15</v>
      </c>
      <c r="J5" s="35"/>
      <c r="P5" s="58" t="s">
        <v>80</v>
      </c>
      <c r="Q5" s="25">
        <f>N2*J4</f>
        <v>123000</v>
      </c>
      <c r="R5" s="25"/>
      <c r="S5" s="25">
        <f t="shared" ref="S5:S12" si="2">SUM(Q5:R5)</f>
        <v>123000</v>
      </c>
      <c r="U5" s="59" t="s">
        <v>83</v>
      </c>
      <c r="V5" s="60">
        <f>sum(S5:S6)</f>
        <v>318000</v>
      </c>
    </row>
    <row r="6">
      <c r="B6" s="25"/>
      <c r="C6" s="25"/>
      <c r="D6" s="14" t="s">
        <v>85</v>
      </c>
      <c r="E6" s="14">
        <v>13.0</v>
      </c>
      <c r="F6" s="25"/>
      <c r="G6" s="25"/>
      <c r="H6" s="25"/>
      <c r="I6" s="25">
        <f t="shared" si="1"/>
        <v>13</v>
      </c>
      <c r="J6" s="35"/>
      <c r="P6" s="14" t="s">
        <v>86</v>
      </c>
      <c r="Q6" s="25">
        <f>N2*J22</f>
        <v>195000</v>
      </c>
      <c r="R6" s="25"/>
      <c r="S6" s="25">
        <f t="shared" si="2"/>
        <v>195000</v>
      </c>
      <c r="U6" s="59" t="s">
        <v>87</v>
      </c>
      <c r="V6" s="60">
        <f t="shared" ref="V6:V7" si="3">S7</f>
        <v>230000</v>
      </c>
    </row>
    <row r="7">
      <c r="B7" s="25"/>
      <c r="C7" s="25"/>
      <c r="D7" s="14" t="s">
        <v>89</v>
      </c>
      <c r="E7" s="14">
        <v>11.0</v>
      </c>
      <c r="F7" s="25"/>
      <c r="G7" s="25"/>
      <c r="H7" s="25"/>
      <c r="I7" s="25">
        <f t="shared" si="1"/>
        <v>11</v>
      </c>
      <c r="J7" s="35"/>
      <c r="P7" s="14" t="s">
        <v>87</v>
      </c>
      <c r="Q7" s="25">
        <f>N2*J42</f>
        <v>230000</v>
      </c>
      <c r="R7" s="25"/>
      <c r="S7" s="25">
        <f t="shared" si="2"/>
        <v>230000</v>
      </c>
      <c r="U7" s="59" t="s">
        <v>91</v>
      </c>
      <c r="V7" s="60">
        <f t="shared" si="3"/>
        <v>363000</v>
      </c>
    </row>
    <row r="8">
      <c r="B8" s="25"/>
      <c r="C8" s="25"/>
      <c r="D8" s="14" t="s">
        <v>69</v>
      </c>
      <c r="E8" s="14">
        <v>10.0</v>
      </c>
      <c r="F8" s="25"/>
      <c r="G8" s="25"/>
      <c r="H8" s="25"/>
      <c r="I8" s="25">
        <f t="shared" si="1"/>
        <v>10</v>
      </c>
      <c r="J8" s="35"/>
      <c r="P8" s="63" t="s">
        <v>91</v>
      </c>
      <c r="Q8" s="25">
        <f>N2*J63</f>
        <v>363000</v>
      </c>
      <c r="R8" s="25"/>
      <c r="S8" s="25">
        <f t="shared" si="2"/>
        <v>363000</v>
      </c>
      <c r="U8" s="59" t="s">
        <v>93</v>
      </c>
      <c r="V8" s="60">
        <f>sum(S9:S10)</f>
        <v>226000</v>
      </c>
    </row>
    <row r="9">
      <c r="B9" s="25"/>
      <c r="C9" s="25"/>
      <c r="D9" s="14" t="s">
        <v>94</v>
      </c>
      <c r="E9" s="14">
        <v>8.0</v>
      </c>
      <c r="F9" s="25"/>
      <c r="G9" s="25"/>
      <c r="H9" s="25"/>
      <c r="I9" s="25">
        <f t="shared" si="1"/>
        <v>8</v>
      </c>
      <c r="J9" s="35"/>
      <c r="P9" s="63" t="s">
        <v>95</v>
      </c>
      <c r="Q9" s="25">
        <f>N2*J83</f>
        <v>123000</v>
      </c>
      <c r="R9" s="25"/>
      <c r="S9" s="25">
        <f t="shared" si="2"/>
        <v>123000</v>
      </c>
      <c r="U9" s="59" t="s">
        <v>96</v>
      </c>
      <c r="V9" s="60">
        <f>sum(S11:S12)</f>
        <v>190000</v>
      </c>
    </row>
    <row r="10">
      <c r="B10" s="25"/>
      <c r="C10" s="25"/>
      <c r="D10" s="14" t="s">
        <v>28</v>
      </c>
      <c r="E10" s="14">
        <v>8.0</v>
      </c>
      <c r="F10" s="25"/>
      <c r="G10" s="25"/>
      <c r="H10" s="25"/>
      <c r="I10" s="25">
        <f t="shared" si="1"/>
        <v>8</v>
      </c>
      <c r="J10" s="35"/>
      <c r="P10" s="63" t="s">
        <v>98</v>
      </c>
      <c r="Q10" s="25">
        <f>N2*J103</f>
        <v>103000</v>
      </c>
      <c r="R10" s="25"/>
      <c r="S10" s="25">
        <f t="shared" si="2"/>
        <v>103000</v>
      </c>
    </row>
    <row r="11">
      <c r="B11" s="25"/>
      <c r="C11" s="25"/>
      <c r="D11" s="14" t="s">
        <v>76</v>
      </c>
      <c r="E11" s="14">
        <v>8.0</v>
      </c>
      <c r="F11" s="25"/>
      <c r="G11" s="25"/>
      <c r="H11" s="25"/>
      <c r="I11" s="25">
        <f t="shared" si="1"/>
        <v>8</v>
      </c>
      <c r="J11" s="35"/>
      <c r="P11" s="63" t="s">
        <v>99</v>
      </c>
      <c r="Q11" s="25">
        <f>N2*J119</f>
        <v>76000</v>
      </c>
      <c r="R11" s="25"/>
      <c r="S11" s="25">
        <f t="shared" si="2"/>
        <v>76000</v>
      </c>
    </row>
    <row r="12">
      <c r="B12" s="25"/>
      <c r="C12" s="25"/>
      <c r="D12" s="14" t="s">
        <v>62</v>
      </c>
      <c r="E12" s="14">
        <v>8.0</v>
      </c>
      <c r="F12" s="25"/>
      <c r="G12" s="25"/>
      <c r="H12" s="25"/>
      <c r="I12" s="25">
        <f t="shared" si="1"/>
        <v>8</v>
      </c>
      <c r="J12" s="35"/>
      <c r="P12" s="63" t="s">
        <v>100</v>
      </c>
      <c r="Q12" s="25">
        <f>N2*J132</f>
        <v>114000</v>
      </c>
      <c r="R12" s="25"/>
      <c r="S12" s="25">
        <f t="shared" si="2"/>
        <v>114000</v>
      </c>
    </row>
    <row r="13">
      <c r="B13" s="25"/>
      <c r="C13" s="25"/>
      <c r="D13" s="14" t="s">
        <v>65</v>
      </c>
      <c r="E13" s="14">
        <v>6.0</v>
      </c>
      <c r="F13" s="25"/>
      <c r="G13" s="25"/>
      <c r="H13" s="25"/>
      <c r="I13" s="25">
        <f t="shared" si="1"/>
        <v>6</v>
      </c>
      <c r="J13" s="35"/>
    </row>
    <row r="14">
      <c r="B14" s="25"/>
      <c r="C14" s="25"/>
      <c r="D14" s="14" t="s">
        <v>72</v>
      </c>
      <c r="E14" s="14">
        <v>5.0</v>
      </c>
      <c r="F14" s="25"/>
      <c r="G14" s="25"/>
      <c r="H14" s="25"/>
      <c r="I14" s="25">
        <f t="shared" si="1"/>
        <v>5</v>
      </c>
      <c r="J14" s="35"/>
    </row>
    <row r="15">
      <c r="B15" s="25"/>
      <c r="C15" s="25"/>
      <c r="D15" s="14" t="s">
        <v>102</v>
      </c>
      <c r="E15" s="14">
        <v>3.0</v>
      </c>
      <c r="F15" s="25"/>
      <c r="G15" s="25"/>
      <c r="H15" s="25"/>
      <c r="I15" s="25">
        <f t="shared" si="1"/>
        <v>3</v>
      </c>
      <c r="J15" s="35"/>
    </row>
    <row r="16">
      <c r="B16" s="25"/>
      <c r="C16" s="25"/>
      <c r="D16" s="14" t="s">
        <v>77</v>
      </c>
      <c r="E16" s="14">
        <v>3.0</v>
      </c>
      <c r="F16" s="25"/>
      <c r="G16" s="25"/>
      <c r="H16" s="25"/>
      <c r="I16" s="25">
        <f t="shared" si="1"/>
        <v>3</v>
      </c>
      <c r="J16" s="35"/>
      <c r="P16" s="46" t="s">
        <v>103</v>
      </c>
      <c r="Q16" s="47">
        <f>sum(V5:V9)</f>
        <v>1327000</v>
      </c>
    </row>
    <row r="17">
      <c r="B17" s="25"/>
      <c r="C17" s="25"/>
      <c r="D17" s="14" t="s">
        <v>104</v>
      </c>
      <c r="E17" s="14">
        <v>3.0</v>
      </c>
      <c r="F17" s="25"/>
      <c r="G17" s="25"/>
      <c r="H17" s="25"/>
      <c r="I17" s="25">
        <f t="shared" si="1"/>
        <v>3</v>
      </c>
      <c r="J17" s="35"/>
    </row>
    <row r="18">
      <c r="B18" s="25"/>
      <c r="C18" s="25"/>
      <c r="D18" s="14" t="s">
        <v>105</v>
      </c>
      <c r="E18" s="14">
        <v>2.0</v>
      </c>
      <c r="F18" s="25"/>
      <c r="G18" s="25"/>
      <c r="H18" s="25"/>
      <c r="I18" s="25">
        <f t="shared" si="1"/>
        <v>2</v>
      </c>
      <c r="J18" s="35"/>
    </row>
    <row r="19">
      <c r="B19" s="25"/>
      <c r="C19" s="25"/>
      <c r="D19" s="14" t="s">
        <v>106</v>
      </c>
      <c r="E19" s="14">
        <v>1.0</v>
      </c>
      <c r="F19" s="25"/>
      <c r="G19" s="25"/>
      <c r="H19" s="25"/>
      <c r="I19" s="25">
        <f t="shared" si="1"/>
        <v>1</v>
      </c>
      <c r="J19" s="35"/>
    </row>
    <row r="20">
      <c r="B20" s="25"/>
      <c r="C20" s="25"/>
      <c r="D20" s="14" t="s">
        <v>71</v>
      </c>
      <c r="E20" s="14">
        <v>1.0</v>
      </c>
      <c r="F20" s="25"/>
      <c r="G20" s="25"/>
      <c r="H20" s="25"/>
      <c r="I20" s="25">
        <f t="shared" si="1"/>
        <v>1</v>
      </c>
      <c r="J20" s="35"/>
    </row>
    <row r="21">
      <c r="B21" s="25"/>
      <c r="C21" s="25"/>
      <c r="D21" s="14" t="s">
        <v>101</v>
      </c>
      <c r="E21" s="14">
        <v>1.0</v>
      </c>
      <c r="F21" s="25"/>
      <c r="G21" s="25"/>
      <c r="H21" s="25"/>
      <c r="I21" s="25">
        <f t="shared" si="1"/>
        <v>1</v>
      </c>
      <c r="J21" s="13"/>
    </row>
    <row r="22">
      <c r="B22" s="9" t="s">
        <v>30</v>
      </c>
      <c r="C22" s="54" t="s">
        <v>108</v>
      </c>
      <c r="D22" s="14" t="s">
        <v>17</v>
      </c>
      <c r="E22" s="14">
        <v>32.0</v>
      </c>
      <c r="F22" s="25"/>
      <c r="G22" s="25"/>
      <c r="H22" s="25"/>
      <c r="I22" s="25">
        <f t="shared" si="1"/>
        <v>32</v>
      </c>
      <c r="J22" s="29">
        <f>SUM(I22:I41)</f>
        <v>195</v>
      </c>
    </row>
    <row r="23">
      <c r="B23" s="25"/>
      <c r="C23" s="25"/>
      <c r="D23" s="14" t="s">
        <v>60</v>
      </c>
      <c r="E23" s="14">
        <v>24.0</v>
      </c>
      <c r="F23" s="25"/>
      <c r="G23" s="25"/>
      <c r="H23" s="25"/>
      <c r="I23" s="25">
        <f t="shared" si="1"/>
        <v>24</v>
      </c>
      <c r="J23" s="35"/>
    </row>
    <row r="24">
      <c r="B24" s="25"/>
      <c r="C24" s="25"/>
      <c r="D24" s="14" t="s">
        <v>56</v>
      </c>
      <c r="E24" s="14">
        <v>18.0</v>
      </c>
      <c r="F24" s="25"/>
      <c r="G24" s="25"/>
      <c r="H24" s="9">
        <v>1.0</v>
      </c>
      <c r="I24" s="25">
        <f t="shared" si="1"/>
        <v>17</v>
      </c>
      <c r="J24" s="35"/>
    </row>
    <row r="25">
      <c r="B25" s="25"/>
      <c r="C25" s="25"/>
      <c r="D25" s="14" t="s">
        <v>76</v>
      </c>
      <c r="E25" s="14">
        <v>16.0</v>
      </c>
      <c r="F25" s="25"/>
      <c r="G25" s="25"/>
      <c r="H25" s="25"/>
      <c r="I25" s="25">
        <f t="shared" si="1"/>
        <v>16</v>
      </c>
      <c r="J25" s="35"/>
    </row>
    <row r="26">
      <c r="B26" s="25"/>
      <c r="C26" s="25"/>
      <c r="D26" s="14" t="s">
        <v>62</v>
      </c>
      <c r="E26" s="14">
        <v>16.0</v>
      </c>
      <c r="F26" s="25"/>
      <c r="G26" s="25"/>
      <c r="H26" s="25"/>
      <c r="I26" s="25">
        <f t="shared" si="1"/>
        <v>16</v>
      </c>
      <c r="J26" s="35"/>
    </row>
    <row r="27">
      <c r="B27" s="25"/>
      <c r="C27" s="25"/>
      <c r="D27" s="14" t="s">
        <v>72</v>
      </c>
      <c r="E27" s="14">
        <v>14.0</v>
      </c>
      <c r="F27" s="25"/>
      <c r="G27" s="25"/>
      <c r="H27" s="25"/>
      <c r="I27" s="25">
        <f t="shared" si="1"/>
        <v>14</v>
      </c>
      <c r="J27" s="35"/>
    </row>
    <row r="28">
      <c r="B28" s="25"/>
      <c r="C28" s="25"/>
      <c r="D28" s="14" t="s">
        <v>28</v>
      </c>
      <c r="E28" s="14">
        <v>13.0</v>
      </c>
      <c r="F28" s="25"/>
      <c r="G28" s="25"/>
      <c r="H28" s="25"/>
      <c r="I28" s="25">
        <f t="shared" si="1"/>
        <v>13</v>
      </c>
      <c r="J28" s="35"/>
    </row>
    <row r="29">
      <c r="B29" s="25"/>
      <c r="C29" s="25"/>
      <c r="D29" s="14" t="s">
        <v>65</v>
      </c>
      <c r="E29" s="14">
        <v>10.0</v>
      </c>
      <c r="F29" s="25"/>
      <c r="G29" s="25"/>
      <c r="H29" s="25"/>
      <c r="I29" s="25">
        <f t="shared" si="1"/>
        <v>10</v>
      </c>
      <c r="J29" s="35"/>
    </row>
    <row r="30">
      <c r="B30" s="25"/>
      <c r="C30" s="25"/>
      <c r="D30" s="14" t="s">
        <v>89</v>
      </c>
      <c r="E30" s="14">
        <v>7.0</v>
      </c>
      <c r="F30" s="25"/>
      <c r="G30" s="25"/>
      <c r="H30" s="25"/>
      <c r="I30" s="25">
        <f t="shared" si="1"/>
        <v>7</v>
      </c>
      <c r="J30" s="35"/>
    </row>
    <row r="31">
      <c r="B31" s="25"/>
      <c r="C31" s="25"/>
      <c r="D31" s="14" t="s">
        <v>101</v>
      </c>
      <c r="E31" s="14">
        <v>7.0</v>
      </c>
      <c r="F31" s="25"/>
      <c r="G31" s="25"/>
      <c r="H31" s="25"/>
      <c r="I31" s="25">
        <f t="shared" si="1"/>
        <v>7</v>
      </c>
      <c r="J31" s="35"/>
    </row>
    <row r="32">
      <c r="B32" s="25"/>
      <c r="C32" s="25"/>
      <c r="D32" s="14" t="s">
        <v>71</v>
      </c>
      <c r="E32" s="14">
        <v>6.0</v>
      </c>
      <c r="F32" s="25"/>
      <c r="G32" s="25"/>
      <c r="H32" s="25"/>
      <c r="I32" s="25">
        <f t="shared" si="1"/>
        <v>6</v>
      </c>
      <c r="J32" s="35"/>
    </row>
    <row r="33">
      <c r="B33" s="25"/>
      <c r="C33" s="25"/>
      <c r="D33" s="14" t="s">
        <v>104</v>
      </c>
      <c r="E33" s="14">
        <v>6.0</v>
      </c>
      <c r="F33" s="25"/>
      <c r="G33" s="25"/>
      <c r="H33" s="25"/>
      <c r="I33" s="25">
        <f t="shared" si="1"/>
        <v>6</v>
      </c>
      <c r="J33" s="35"/>
    </row>
    <row r="34">
      <c r="B34" s="25"/>
      <c r="C34" s="25"/>
      <c r="D34" s="14" t="s">
        <v>77</v>
      </c>
      <c r="E34" s="14">
        <v>6.0</v>
      </c>
      <c r="F34" s="25"/>
      <c r="G34" s="25"/>
      <c r="H34" s="25"/>
      <c r="I34" s="25">
        <f t="shared" si="1"/>
        <v>6</v>
      </c>
      <c r="J34" s="35"/>
    </row>
    <row r="35">
      <c r="B35" s="25"/>
      <c r="C35" s="25"/>
      <c r="D35" s="14" t="s">
        <v>105</v>
      </c>
      <c r="E35" s="14">
        <v>5.0</v>
      </c>
      <c r="F35" s="25"/>
      <c r="G35" s="25"/>
      <c r="H35" s="25"/>
      <c r="I35" s="25">
        <f t="shared" si="1"/>
        <v>5</v>
      </c>
      <c r="J35" s="35"/>
    </row>
    <row r="36">
      <c r="B36" s="25"/>
      <c r="C36" s="25"/>
      <c r="D36" s="14" t="s">
        <v>59</v>
      </c>
      <c r="E36" s="14">
        <v>4.0</v>
      </c>
      <c r="F36" s="25"/>
      <c r="G36" s="25"/>
      <c r="H36" s="25"/>
      <c r="I36" s="25">
        <f t="shared" si="1"/>
        <v>4</v>
      </c>
      <c r="J36" s="35"/>
    </row>
    <row r="37">
      <c r="B37" s="25"/>
      <c r="C37" s="25"/>
      <c r="D37" s="14" t="s">
        <v>94</v>
      </c>
      <c r="E37" s="14">
        <v>4.0</v>
      </c>
      <c r="F37" s="25"/>
      <c r="G37" s="25"/>
      <c r="H37" s="25"/>
      <c r="I37" s="25">
        <f t="shared" si="1"/>
        <v>4</v>
      </c>
      <c r="J37" s="35"/>
    </row>
    <row r="38">
      <c r="B38" s="25"/>
      <c r="C38" s="25"/>
      <c r="D38" s="14" t="s">
        <v>102</v>
      </c>
      <c r="E38" s="14">
        <v>3.0</v>
      </c>
      <c r="F38" s="25"/>
      <c r="G38" s="25"/>
      <c r="H38" s="25"/>
      <c r="I38" s="25">
        <f t="shared" si="1"/>
        <v>3</v>
      </c>
      <c r="J38" s="35"/>
    </row>
    <row r="39">
      <c r="B39" s="25"/>
      <c r="C39" s="25"/>
      <c r="D39" s="14" t="s">
        <v>69</v>
      </c>
      <c r="E39" s="14">
        <v>2.0</v>
      </c>
      <c r="F39" s="25"/>
      <c r="G39" s="25"/>
      <c r="H39" s="25"/>
      <c r="I39" s="25">
        <f t="shared" si="1"/>
        <v>2</v>
      </c>
      <c r="J39" s="35"/>
    </row>
    <row r="40">
      <c r="B40" s="25"/>
      <c r="C40" s="25"/>
      <c r="D40" s="14" t="s">
        <v>113</v>
      </c>
      <c r="E40" s="14">
        <v>2.0</v>
      </c>
      <c r="F40" s="25"/>
      <c r="G40" s="25"/>
      <c r="H40" s="25"/>
      <c r="I40" s="25">
        <f t="shared" si="1"/>
        <v>2</v>
      </c>
      <c r="J40" s="35"/>
    </row>
    <row r="41">
      <c r="B41" s="25"/>
      <c r="C41" s="25"/>
      <c r="D41" s="14" t="s">
        <v>53</v>
      </c>
      <c r="E41" s="14">
        <v>1.0</v>
      </c>
      <c r="F41" s="25"/>
      <c r="G41" s="25"/>
      <c r="H41" s="25"/>
      <c r="I41" s="25">
        <f t="shared" si="1"/>
        <v>1</v>
      </c>
      <c r="J41" s="13"/>
    </row>
    <row r="42">
      <c r="B42" s="9" t="s">
        <v>36</v>
      </c>
      <c r="C42" s="54" t="s">
        <v>87</v>
      </c>
      <c r="D42" s="14" t="s">
        <v>56</v>
      </c>
      <c r="E42" s="14">
        <v>40.0</v>
      </c>
      <c r="F42" s="25"/>
      <c r="G42" s="25"/>
      <c r="H42" s="25"/>
      <c r="I42" s="25">
        <f t="shared" si="1"/>
        <v>40</v>
      </c>
      <c r="J42" s="29">
        <f>SUM(I42:I62)</f>
        <v>230</v>
      </c>
    </row>
    <row r="43">
      <c r="B43" s="25"/>
      <c r="C43" s="25"/>
      <c r="D43" s="14" t="s">
        <v>17</v>
      </c>
      <c r="E43" s="14">
        <v>35.0</v>
      </c>
      <c r="F43" s="25"/>
      <c r="G43" s="25"/>
      <c r="H43" s="25"/>
      <c r="I43" s="25">
        <f t="shared" si="1"/>
        <v>35</v>
      </c>
      <c r="J43" s="35"/>
    </row>
    <row r="44">
      <c r="B44" s="25"/>
      <c r="C44" s="25"/>
      <c r="D44" s="14" t="s">
        <v>60</v>
      </c>
      <c r="E44" s="14">
        <v>36.0</v>
      </c>
      <c r="F44" s="25"/>
      <c r="G44" s="25"/>
      <c r="H44" s="25"/>
      <c r="I44" s="25">
        <f t="shared" si="1"/>
        <v>36</v>
      </c>
      <c r="J44" s="35"/>
    </row>
    <row r="45">
      <c r="B45" s="25"/>
      <c r="C45" s="25"/>
      <c r="D45" s="14" t="s">
        <v>65</v>
      </c>
      <c r="E45" s="14">
        <v>21.0</v>
      </c>
      <c r="F45" s="25"/>
      <c r="G45" s="25"/>
      <c r="H45" s="25"/>
      <c r="I45" s="25">
        <f t="shared" si="1"/>
        <v>21</v>
      </c>
      <c r="J45" s="35"/>
    </row>
    <row r="46">
      <c r="B46" s="25"/>
      <c r="C46" s="25"/>
      <c r="D46" s="14" t="s">
        <v>76</v>
      </c>
      <c r="E46" s="14">
        <v>14.0</v>
      </c>
      <c r="F46" s="25"/>
      <c r="G46" s="25"/>
      <c r="H46" s="25"/>
      <c r="I46" s="25">
        <f t="shared" si="1"/>
        <v>14</v>
      </c>
      <c r="J46" s="35"/>
    </row>
    <row r="47">
      <c r="B47" s="25"/>
      <c r="C47" s="25"/>
      <c r="D47" s="14" t="s">
        <v>72</v>
      </c>
      <c r="E47" s="14">
        <v>10.0</v>
      </c>
      <c r="F47" s="25"/>
      <c r="G47" s="25"/>
      <c r="H47" s="25"/>
      <c r="I47" s="25">
        <f t="shared" si="1"/>
        <v>10</v>
      </c>
      <c r="J47" s="35"/>
    </row>
    <row r="48">
      <c r="B48" s="25"/>
      <c r="C48" s="25"/>
      <c r="D48" s="14" t="s">
        <v>94</v>
      </c>
      <c r="E48" s="14">
        <v>10.0</v>
      </c>
      <c r="F48" s="25"/>
      <c r="G48" s="25"/>
      <c r="H48" s="25"/>
      <c r="I48" s="25">
        <f t="shared" si="1"/>
        <v>10</v>
      </c>
      <c r="J48" s="35"/>
    </row>
    <row r="49">
      <c r="B49" s="25"/>
      <c r="C49" s="25"/>
      <c r="D49" s="14" t="s">
        <v>89</v>
      </c>
      <c r="E49" s="14">
        <v>8.0</v>
      </c>
      <c r="F49" s="25"/>
      <c r="G49" s="25"/>
      <c r="H49" s="25"/>
      <c r="I49" s="25">
        <f t="shared" si="1"/>
        <v>8</v>
      </c>
      <c r="J49" s="35"/>
    </row>
    <row r="50">
      <c r="B50" s="28"/>
      <c r="C50" s="28"/>
      <c r="D50" s="65" t="s">
        <v>69</v>
      </c>
      <c r="E50" s="65">
        <v>8.0</v>
      </c>
      <c r="F50" s="28"/>
      <c r="G50" s="28"/>
      <c r="H50" s="28"/>
      <c r="I50" s="28">
        <f t="shared" si="1"/>
        <v>8</v>
      </c>
      <c r="J50" s="35"/>
    </row>
    <row r="51">
      <c r="B51" s="28"/>
      <c r="C51" s="28"/>
      <c r="D51" s="65" t="s">
        <v>28</v>
      </c>
      <c r="E51" s="65">
        <v>6.0</v>
      </c>
      <c r="F51" s="28"/>
      <c r="G51" s="28"/>
      <c r="H51" s="28"/>
      <c r="I51" s="28">
        <f t="shared" si="1"/>
        <v>6</v>
      </c>
      <c r="J51" s="35"/>
    </row>
    <row r="52">
      <c r="B52" s="28"/>
      <c r="C52" s="28"/>
      <c r="D52" s="65" t="s">
        <v>77</v>
      </c>
      <c r="E52" s="65">
        <v>6.0</v>
      </c>
      <c r="F52" s="28"/>
      <c r="G52" s="28"/>
      <c r="H52" s="28"/>
      <c r="I52" s="28">
        <f t="shared" si="1"/>
        <v>6</v>
      </c>
      <c r="J52" s="35"/>
    </row>
    <row r="53">
      <c r="B53" s="28"/>
      <c r="C53" s="28"/>
      <c r="D53" s="65" t="s">
        <v>62</v>
      </c>
      <c r="E53" s="65">
        <v>6.0</v>
      </c>
      <c r="F53" s="28"/>
      <c r="G53" s="28"/>
      <c r="H53" s="28"/>
      <c r="I53" s="28">
        <f t="shared" si="1"/>
        <v>6</v>
      </c>
      <c r="J53" s="35"/>
    </row>
    <row r="54">
      <c r="B54" s="28"/>
      <c r="C54" s="28"/>
      <c r="D54" s="65" t="s">
        <v>113</v>
      </c>
      <c r="E54" s="65">
        <v>5.0</v>
      </c>
      <c r="F54" s="28"/>
      <c r="G54" s="28"/>
      <c r="H54" s="28"/>
      <c r="I54" s="28">
        <f t="shared" si="1"/>
        <v>5</v>
      </c>
      <c r="J54" s="35"/>
    </row>
    <row r="55">
      <c r="B55" s="28"/>
      <c r="C55" s="28"/>
      <c r="D55" s="65" t="s">
        <v>102</v>
      </c>
      <c r="E55" s="65">
        <v>4.0</v>
      </c>
      <c r="F55" s="28"/>
      <c r="G55" s="28"/>
      <c r="H55" s="28"/>
      <c r="I55" s="28">
        <f t="shared" si="1"/>
        <v>4</v>
      </c>
      <c r="J55" s="35"/>
    </row>
    <row r="56">
      <c r="B56" s="28"/>
      <c r="C56" s="28"/>
      <c r="D56" s="65" t="s">
        <v>53</v>
      </c>
      <c r="E56" s="65">
        <v>4.0</v>
      </c>
      <c r="F56" s="28"/>
      <c r="G56" s="28"/>
      <c r="H56" s="28"/>
      <c r="I56" s="28">
        <f t="shared" si="1"/>
        <v>4</v>
      </c>
      <c r="J56" s="35"/>
    </row>
    <row r="57">
      <c r="B57" s="28"/>
      <c r="C57" s="28"/>
      <c r="D57" s="65" t="s">
        <v>105</v>
      </c>
      <c r="E57" s="65">
        <v>4.0</v>
      </c>
      <c r="F57" s="28"/>
      <c r="G57" s="28"/>
      <c r="H57" s="28"/>
      <c r="I57" s="28">
        <f t="shared" si="1"/>
        <v>4</v>
      </c>
      <c r="J57" s="35"/>
    </row>
    <row r="58">
      <c r="B58" s="28"/>
      <c r="C58" s="28"/>
      <c r="D58" s="65" t="s">
        <v>101</v>
      </c>
      <c r="E58" s="65">
        <v>4.0</v>
      </c>
      <c r="F58" s="28"/>
      <c r="G58" s="28"/>
      <c r="H58" s="28"/>
      <c r="I58" s="28">
        <f t="shared" si="1"/>
        <v>4</v>
      </c>
      <c r="J58" s="35"/>
    </row>
    <row r="59">
      <c r="B59" s="28"/>
      <c r="C59" s="28"/>
      <c r="D59" s="65" t="s">
        <v>104</v>
      </c>
      <c r="E59" s="65">
        <v>3.0</v>
      </c>
      <c r="F59" s="28"/>
      <c r="G59" s="28"/>
      <c r="H59" s="28"/>
      <c r="I59" s="28">
        <f t="shared" si="1"/>
        <v>3</v>
      </c>
      <c r="J59" s="35"/>
    </row>
    <row r="60">
      <c r="B60" s="28"/>
      <c r="C60" s="28"/>
      <c r="D60" s="65" t="s">
        <v>71</v>
      </c>
      <c r="E60" s="65">
        <v>3.0</v>
      </c>
      <c r="F60" s="28"/>
      <c r="G60" s="28"/>
      <c r="H60" s="28"/>
      <c r="I60" s="28">
        <f t="shared" si="1"/>
        <v>3</v>
      </c>
      <c r="J60" s="35"/>
    </row>
    <row r="61">
      <c r="B61" s="28"/>
      <c r="C61" s="28"/>
      <c r="D61" s="65" t="s">
        <v>59</v>
      </c>
      <c r="E61" s="65">
        <v>2.0</v>
      </c>
      <c r="F61" s="28"/>
      <c r="G61" s="28"/>
      <c r="H61" s="28"/>
      <c r="I61" s="28">
        <f t="shared" si="1"/>
        <v>2</v>
      </c>
      <c r="J61" s="35"/>
    </row>
    <row r="62">
      <c r="B62" s="28"/>
      <c r="C62" s="28"/>
      <c r="D62" s="65" t="s">
        <v>106</v>
      </c>
      <c r="E62" s="65">
        <v>1.0</v>
      </c>
      <c r="F62" s="28"/>
      <c r="G62" s="28"/>
      <c r="H62" s="28"/>
      <c r="I62" s="28">
        <f t="shared" si="1"/>
        <v>1</v>
      </c>
      <c r="J62" s="13"/>
    </row>
    <row r="63">
      <c r="B63" s="6" t="s">
        <v>39</v>
      </c>
      <c r="C63" s="66" t="s">
        <v>91</v>
      </c>
      <c r="D63" s="65" t="s">
        <v>60</v>
      </c>
      <c r="E63" s="65">
        <v>52.0</v>
      </c>
      <c r="F63" s="28"/>
      <c r="G63" s="28"/>
      <c r="H63" s="28"/>
      <c r="I63" s="28">
        <f t="shared" si="1"/>
        <v>52</v>
      </c>
      <c r="J63" s="29">
        <f>SUM(I63:I82)</f>
        <v>363</v>
      </c>
    </row>
    <row r="64">
      <c r="B64" s="28"/>
      <c r="C64" s="28"/>
      <c r="D64" s="65" t="s">
        <v>17</v>
      </c>
      <c r="E64" s="65">
        <v>51.0</v>
      </c>
      <c r="F64" s="28"/>
      <c r="G64" s="28"/>
      <c r="H64" s="28"/>
      <c r="I64" s="28">
        <f t="shared" si="1"/>
        <v>51</v>
      </c>
      <c r="J64" s="35"/>
    </row>
    <row r="65">
      <c r="B65" s="28"/>
      <c r="C65" s="28"/>
      <c r="D65" s="65" t="s">
        <v>65</v>
      </c>
      <c r="E65" s="65">
        <v>34.0</v>
      </c>
      <c r="F65" s="28"/>
      <c r="G65" s="28"/>
      <c r="H65" s="28"/>
      <c r="I65" s="28">
        <f t="shared" si="1"/>
        <v>34</v>
      </c>
      <c r="J65" s="35"/>
    </row>
    <row r="66">
      <c r="B66" s="28"/>
      <c r="C66" s="28"/>
      <c r="D66" s="65" t="s">
        <v>56</v>
      </c>
      <c r="E66" s="65">
        <v>33.0</v>
      </c>
      <c r="F66" s="28"/>
      <c r="G66" s="28"/>
      <c r="H66" s="28"/>
      <c r="I66" s="28">
        <f t="shared" si="1"/>
        <v>33</v>
      </c>
      <c r="J66" s="35"/>
    </row>
    <row r="67">
      <c r="B67" s="28"/>
      <c r="C67" s="28"/>
      <c r="D67" s="65" t="s">
        <v>105</v>
      </c>
      <c r="E67" s="65">
        <v>25.0</v>
      </c>
      <c r="F67" s="28"/>
      <c r="G67" s="28"/>
      <c r="H67" s="28"/>
      <c r="I67" s="28">
        <f t="shared" si="1"/>
        <v>25</v>
      </c>
      <c r="J67" s="35"/>
    </row>
    <row r="68">
      <c r="B68" s="28"/>
      <c r="C68" s="28"/>
      <c r="D68" s="65" t="s">
        <v>76</v>
      </c>
      <c r="E68" s="65">
        <v>22.0</v>
      </c>
      <c r="F68" s="28"/>
      <c r="G68" s="28"/>
      <c r="H68" s="28"/>
      <c r="I68" s="28">
        <f t="shared" si="1"/>
        <v>22</v>
      </c>
      <c r="J68" s="35"/>
    </row>
    <row r="69">
      <c r="B69" s="28"/>
      <c r="C69" s="28"/>
      <c r="D69" s="65" t="s">
        <v>89</v>
      </c>
      <c r="E69" s="65">
        <v>21.0</v>
      </c>
      <c r="F69" s="28"/>
      <c r="G69" s="28"/>
      <c r="H69" s="28"/>
      <c r="I69" s="28">
        <f t="shared" si="1"/>
        <v>21</v>
      </c>
      <c r="J69" s="35"/>
    </row>
    <row r="70">
      <c r="B70" s="28"/>
      <c r="C70" s="28"/>
      <c r="D70" s="65" t="s">
        <v>101</v>
      </c>
      <c r="E70" s="65">
        <v>18.0</v>
      </c>
      <c r="F70" s="28"/>
      <c r="G70" s="28"/>
      <c r="H70" s="28"/>
      <c r="I70" s="28">
        <f t="shared" si="1"/>
        <v>18</v>
      </c>
      <c r="J70" s="35"/>
    </row>
    <row r="71">
      <c r="B71" s="28"/>
      <c r="C71" s="28"/>
      <c r="D71" s="65" t="s">
        <v>77</v>
      </c>
      <c r="E71" s="65">
        <v>15.0</v>
      </c>
      <c r="F71" s="28"/>
      <c r="G71" s="28"/>
      <c r="H71" s="28"/>
      <c r="I71" s="28">
        <f t="shared" si="1"/>
        <v>15</v>
      </c>
      <c r="J71" s="35"/>
    </row>
    <row r="72">
      <c r="B72" s="28"/>
      <c r="C72" s="28"/>
      <c r="D72" s="65" t="s">
        <v>62</v>
      </c>
      <c r="E72" s="65">
        <v>14.0</v>
      </c>
      <c r="F72" s="28"/>
      <c r="G72" s="28"/>
      <c r="H72" s="28"/>
      <c r="I72" s="28">
        <f t="shared" si="1"/>
        <v>14</v>
      </c>
      <c r="J72" s="35"/>
    </row>
    <row r="73">
      <c r="B73" s="28"/>
      <c r="C73" s="28"/>
      <c r="D73" s="65" t="s">
        <v>69</v>
      </c>
      <c r="E73" s="65">
        <v>13.0</v>
      </c>
      <c r="F73" s="28"/>
      <c r="G73" s="28"/>
      <c r="H73" s="28"/>
      <c r="I73" s="28">
        <f t="shared" si="1"/>
        <v>13</v>
      </c>
      <c r="J73" s="35"/>
    </row>
    <row r="74">
      <c r="B74" s="28"/>
      <c r="C74" s="28"/>
      <c r="D74" s="65" t="s">
        <v>94</v>
      </c>
      <c r="E74" s="65">
        <v>12.0</v>
      </c>
      <c r="F74" s="28"/>
      <c r="G74" s="28"/>
      <c r="H74" s="28"/>
      <c r="I74" s="28">
        <f t="shared" si="1"/>
        <v>12</v>
      </c>
      <c r="J74" s="35"/>
    </row>
    <row r="75">
      <c r="B75" s="28"/>
      <c r="C75" s="28"/>
      <c r="D75" s="65" t="s">
        <v>28</v>
      </c>
      <c r="E75" s="65">
        <v>11.0</v>
      </c>
      <c r="F75" s="28"/>
      <c r="G75" s="28"/>
      <c r="H75" s="28"/>
      <c r="I75" s="28">
        <f t="shared" si="1"/>
        <v>11</v>
      </c>
      <c r="J75" s="35"/>
    </row>
    <row r="76">
      <c r="B76" s="28"/>
      <c r="C76" s="28"/>
      <c r="D76" s="65" t="s">
        <v>102</v>
      </c>
      <c r="E76" s="65">
        <v>8.0</v>
      </c>
      <c r="F76" s="28"/>
      <c r="G76" s="28"/>
      <c r="H76" s="28"/>
      <c r="I76" s="28">
        <f t="shared" si="1"/>
        <v>8</v>
      </c>
      <c r="J76" s="35"/>
    </row>
    <row r="77">
      <c r="B77" s="28"/>
      <c r="C77" s="28"/>
      <c r="D77" s="65" t="s">
        <v>72</v>
      </c>
      <c r="E77" s="65">
        <v>8.0</v>
      </c>
      <c r="F77" s="28"/>
      <c r="G77" s="28"/>
      <c r="H77" s="28"/>
      <c r="I77" s="28">
        <f t="shared" si="1"/>
        <v>8</v>
      </c>
      <c r="J77" s="35"/>
    </row>
    <row r="78">
      <c r="B78" s="28"/>
      <c r="C78" s="28"/>
      <c r="D78" s="65" t="s">
        <v>106</v>
      </c>
      <c r="E78" s="65">
        <v>6.0</v>
      </c>
      <c r="F78" s="28"/>
      <c r="G78" s="28"/>
      <c r="H78" s="28"/>
      <c r="I78" s="28">
        <f t="shared" si="1"/>
        <v>6</v>
      </c>
      <c r="J78" s="35"/>
    </row>
    <row r="79">
      <c r="B79" s="28"/>
      <c r="C79" s="28"/>
      <c r="D79" s="65" t="s">
        <v>59</v>
      </c>
      <c r="E79" s="65">
        <v>6.0</v>
      </c>
      <c r="F79" s="28"/>
      <c r="G79" s="28"/>
      <c r="H79" s="28"/>
      <c r="I79" s="28">
        <f t="shared" si="1"/>
        <v>6</v>
      </c>
      <c r="J79" s="35"/>
    </row>
    <row r="80">
      <c r="B80" s="28"/>
      <c r="C80" s="28"/>
      <c r="D80" s="65" t="s">
        <v>104</v>
      </c>
      <c r="E80" s="65">
        <v>5.0</v>
      </c>
      <c r="F80" s="28"/>
      <c r="G80" s="28"/>
      <c r="H80" s="28"/>
      <c r="I80" s="28">
        <f t="shared" si="1"/>
        <v>5</v>
      </c>
      <c r="J80" s="35"/>
    </row>
    <row r="81">
      <c r="B81" s="28"/>
      <c r="C81" s="28"/>
      <c r="D81" s="65" t="s">
        <v>53</v>
      </c>
      <c r="E81" s="65">
        <v>5.0</v>
      </c>
      <c r="F81" s="28"/>
      <c r="G81" s="28"/>
      <c r="H81" s="28"/>
      <c r="I81" s="28">
        <f t="shared" si="1"/>
        <v>5</v>
      </c>
      <c r="J81" s="35"/>
    </row>
    <row r="82">
      <c r="B82" s="28"/>
      <c r="C82" s="28"/>
      <c r="D82" s="65" t="s">
        <v>71</v>
      </c>
      <c r="E82" s="65">
        <v>4.0</v>
      </c>
      <c r="F82" s="28"/>
      <c r="G82" s="28"/>
      <c r="H82" s="28"/>
      <c r="I82" s="28">
        <f t="shared" si="1"/>
        <v>4</v>
      </c>
      <c r="J82" s="13"/>
    </row>
    <row r="83">
      <c r="B83" s="6" t="s">
        <v>43</v>
      </c>
      <c r="C83" s="66" t="s">
        <v>95</v>
      </c>
      <c r="D83" s="65" t="s">
        <v>60</v>
      </c>
      <c r="E83" s="65">
        <v>21.0</v>
      </c>
      <c r="F83" s="28"/>
      <c r="G83" s="28"/>
      <c r="H83" s="28"/>
      <c r="I83" s="28">
        <f t="shared" si="1"/>
        <v>21</v>
      </c>
      <c r="J83" s="29">
        <f>SUM(I83:I102)</f>
        <v>123</v>
      </c>
    </row>
    <row r="84">
      <c r="B84" s="28"/>
      <c r="C84" s="28"/>
      <c r="D84" s="65" t="s">
        <v>17</v>
      </c>
      <c r="E84" s="65">
        <v>14.0</v>
      </c>
      <c r="F84" s="28"/>
      <c r="G84" s="28"/>
      <c r="H84" s="28"/>
      <c r="I84" s="28">
        <f t="shared" si="1"/>
        <v>14</v>
      </c>
      <c r="J84" s="35"/>
    </row>
    <row r="85">
      <c r="B85" s="28"/>
      <c r="C85" s="28"/>
      <c r="D85" s="65" t="s">
        <v>76</v>
      </c>
      <c r="E85" s="65">
        <v>13.0</v>
      </c>
      <c r="F85" s="28"/>
      <c r="G85" s="28"/>
      <c r="H85" s="28"/>
      <c r="I85" s="28">
        <f t="shared" si="1"/>
        <v>13</v>
      </c>
      <c r="J85" s="35"/>
    </row>
    <row r="86">
      <c r="B86" s="28"/>
      <c r="C86" s="28"/>
      <c r="D86" s="65" t="s">
        <v>65</v>
      </c>
      <c r="E86" s="65">
        <v>12.0</v>
      </c>
      <c r="F86" s="28"/>
      <c r="G86" s="28"/>
      <c r="H86" s="28"/>
      <c r="I86" s="28">
        <f t="shared" si="1"/>
        <v>12</v>
      </c>
      <c r="J86" s="35"/>
    </row>
    <row r="87">
      <c r="B87" s="28"/>
      <c r="C87" s="28"/>
      <c r="D87" s="65" t="s">
        <v>56</v>
      </c>
      <c r="E87" s="65">
        <v>12.0</v>
      </c>
      <c r="F87" s="28"/>
      <c r="G87" s="28"/>
      <c r="H87" s="6">
        <v>1.0</v>
      </c>
      <c r="I87" s="28">
        <f t="shared" si="1"/>
        <v>11</v>
      </c>
      <c r="J87" s="35"/>
    </row>
    <row r="88">
      <c r="B88" s="28"/>
      <c r="C88" s="28"/>
      <c r="D88" s="65" t="s">
        <v>105</v>
      </c>
      <c r="E88" s="65">
        <v>11.0</v>
      </c>
      <c r="F88" s="28"/>
      <c r="G88" s="28"/>
      <c r="H88" s="28"/>
      <c r="I88" s="28">
        <f t="shared" si="1"/>
        <v>11</v>
      </c>
      <c r="J88" s="35"/>
    </row>
    <row r="89">
      <c r="B89" s="28"/>
      <c r="C89" s="28"/>
      <c r="D89" s="65" t="s">
        <v>62</v>
      </c>
      <c r="E89" s="65">
        <v>8.0</v>
      </c>
      <c r="F89" s="28"/>
      <c r="G89" s="28"/>
      <c r="H89" s="28"/>
      <c r="I89" s="28">
        <f t="shared" si="1"/>
        <v>8</v>
      </c>
      <c r="J89" s="35"/>
    </row>
    <row r="90">
      <c r="B90" s="28"/>
      <c r="C90" s="28"/>
      <c r="D90" s="65" t="s">
        <v>77</v>
      </c>
      <c r="E90" s="65">
        <v>6.0</v>
      </c>
      <c r="F90" s="28"/>
      <c r="G90" s="28"/>
      <c r="H90" s="28"/>
      <c r="I90" s="28">
        <f t="shared" si="1"/>
        <v>6</v>
      </c>
      <c r="J90" s="35"/>
    </row>
    <row r="91">
      <c r="B91" s="28"/>
      <c r="C91" s="28"/>
      <c r="D91" s="65" t="s">
        <v>101</v>
      </c>
      <c r="E91" s="65">
        <v>4.0</v>
      </c>
      <c r="F91" s="28"/>
      <c r="G91" s="28"/>
      <c r="H91" s="28"/>
      <c r="I91" s="28">
        <f t="shared" si="1"/>
        <v>4</v>
      </c>
      <c r="J91" s="35"/>
    </row>
    <row r="92">
      <c r="B92" s="28"/>
      <c r="C92" s="28"/>
      <c r="D92" s="65" t="s">
        <v>28</v>
      </c>
      <c r="E92" s="65">
        <v>4.0</v>
      </c>
      <c r="F92" s="28"/>
      <c r="G92" s="28"/>
      <c r="H92" s="28"/>
      <c r="I92" s="28">
        <f t="shared" si="1"/>
        <v>4</v>
      </c>
      <c r="J92" s="35"/>
    </row>
    <row r="93">
      <c r="B93" s="28"/>
      <c r="C93" s="28"/>
      <c r="D93" s="65" t="s">
        <v>94</v>
      </c>
      <c r="E93" s="65">
        <v>3.0</v>
      </c>
      <c r="F93" s="28"/>
      <c r="G93" s="28"/>
      <c r="H93" s="28"/>
      <c r="I93" s="28">
        <f t="shared" si="1"/>
        <v>3</v>
      </c>
      <c r="J93" s="35"/>
    </row>
    <row r="94">
      <c r="B94" s="28"/>
      <c r="C94" s="28"/>
      <c r="D94" s="65" t="s">
        <v>69</v>
      </c>
      <c r="E94" s="65">
        <v>3.0</v>
      </c>
      <c r="F94" s="28"/>
      <c r="G94" s="28"/>
      <c r="H94" s="28"/>
      <c r="I94" s="28">
        <f t="shared" si="1"/>
        <v>3</v>
      </c>
      <c r="J94" s="35"/>
    </row>
    <row r="95">
      <c r="B95" s="28"/>
      <c r="C95" s="28"/>
      <c r="D95" s="65" t="s">
        <v>59</v>
      </c>
      <c r="E95" s="65">
        <v>2.0</v>
      </c>
      <c r="F95" s="28"/>
      <c r="G95" s="28"/>
      <c r="H95" s="28"/>
      <c r="I95" s="28">
        <f t="shared" si="1"/>
        <v>2</v>
      </c>
      <c r="J95" s="35"/>
    </row>
    <row r="96">
      <c r="B96" s="28"/>
      <c r="C96" s="28"/>
      <c r="D96" s="65" t="s">
        <v>72</v>
      </c>
      <c r="E96" s="65">
        <v>2.0</v>
      </c>
      <c r="F96" s="28"/>
      <c r="G96" s="28"/>
      <c r="H96" s="28"/>
      <c r="I96" s="28">
        <f t="shared" si="1"/>
        <v>2</v>
      </c>
      <c r="J96" s="35"/>
    </row>
    <row r="97">
      <c r="B97" s="28"/>
      <c r="C97" s="28"/>
      <c r="D97" s="65" t="s">
        <v>71</v>
      </c>
      <c r="E97" s="65">
        <v>2.0</v>
      </c>
      <c r="F97" s="28"/>
      <c r="G97" s="28"/>
      <c r="H97" s="28"/>
      <c r="I97" s="28">
        <f t="shared" si="1"/>
        <v>2</v>
      </c>
      <c r="J97" s="35"/>
    </row>
    <row r="98">
      <c r="B98" s="28"/>
      <c r="C98" s="28"/>
      <c r="D98" s="65" t="s">
        <v>106</v>
      </c>
      <c r="E98" s="65">
        <v>2.0</v>
      </c>
      <c r="F98" s="28"/>
      <c r="G98" s="28"/>
      <c r="H98" s="28"/>
      <c r="I98" s="28">
        <f t="shared" si="1"/>
        <v>2</v>
      </c>
      <c r="J98" s="35"/>
    </row>
    <row r="99">
      <c r="B99" s="28"/>
      <c r="C99" s="28"/>
      <c r="D99" s="65" t="s">
        <v>89</v>
      </c>
      <c r="E99" s="65">
        <v>2.0</v>
      </c>
      <c r="F99" s="28"/>
      <c r="G99" s="28"/>
      <c r="H99" s="28"/>
      <c r="I99" s="28">
        <f t="shared" si="1"/>
        <v>2</v>
      </c>
      <c r="J99" s="35"/>
    </row>
    <row r="100">
      <c r="B100" s="28"/>
      <c r="C100" s="28"/>
      <c r="D100" s="65" t="s">
        <v>102</v>
      </c>
      <c r="E100" s="65">
        <v>1.0</v>
      </c>
      <c r="F100" s="28"/>
      <c r="G100" s="28"/>
      <c r="H100" s="28"/>
      <c r="I100" s="28">
        <f t="shared" si="1"/>
        <v>1</v>
      </c>
      <c r="J100" s="35"/>
    </row>
    <row r="101">
      <c r="B101" s="28"/>
      <c r="C101" s="28"/>
      <c r="D101" s="65" t="s">
        <v>53</v>
      </c>
      <c r="E101" s="65">
        <v>1.0</v>
      </c>
      <c r="F101" s="28"/>
      <c r="G101" s="28"/>
      <c r="H101" s="28"/>
      <c r="I101" s="28">
        <f t="shared" si="1"/>
        <v>1</v>
      </c>
      <c r="J101" s="35"/>
    </row>
    <row r="102">
      <c r="B102" s="28"/>
      <c r="C102" s="28"/>
      <c r="D102" s="65" t="s">
        <v>104</v>
      </c>
      <c r="E102" s="65">
        <v>1.0</v>
      </c>
      <c r="F102" s="28"/>
      <c r="G102" s="28"/>
      <c r="H102" s="28"/>
      <c r="I102" s="28">
        <f t="shared" si="1"/>
        <v>1</v>
      </c>
      <c r="J102" s="13"/>
    </row>
    <row r="103">
      <c r="B103" s="6" t="s">
        <v>47</v>
      </c>
      <c r="C103" s="66" t="s">
        <v>98</v>
      </c>
      <c r="D103" s="65" t="s">
        <v>60</v>
      </c>
      <c r="E103" s="65">
        <v>24.0</v>
      </c>
      <c r="F103" s="28"/>
      <c r="G103" s="28"/>
      <c r="H103" s="28"/>
      <c r="I103" s="28">
        <f t="shared" si="1"/>
        <v>24</v>
      </c>
      <c r="J103" s="29">
        <f>SUM(I103:I118)</f>
        <v>103</v>
      </c>
    </row>
    <row r="104">
      <c r="B104" s="28"/>
      <c r="C104" s="28"/>
      <c r="D104" s="65" t="s">
        <v>17</v>
      </c>
      <c r="E104" s="65">
        <v>14.0</v>
      </c>
      <c r="F104" s="28"/>
      <c r="G104" s="28"/>
      <c r="H104" s="28"/>
      <c r="I104" s="28">
        <f t="shared" si="1"/>
        <v>14</v>
      </c>
      <c r="J104" s="35"/>
    </row>
    <row r="105">
      <c r="B105" s="28"/>
      <c r="C105" s="28"/>
      <c r="D105" s="65" t="s">
        <v>105</v>
      </c>
      <c r="E105" s="65">
        <v>10.0</v>
      </c>
      <c r="F105" s="28"/>
      <c r="G105" s="28"/>
      <c r="H105" s="28"/>
      <c r="I105" s="28">
        <f t="shared" si="1"/>
        <v>10</v>
      </c>
      <c r="J105" s="35"/>
    </row>
    <row r="106">
      <c r="B106" s="28"/>
      <c r="C106" s="28"/>
      <c r="D106" s="65" t="s">
        <v>65</v>
      </c>
      <c r="E106" s="65">
        <v>10.0</v>
      </c>
      <c r="F106" s="28"/>
      <c r="G106" s="28"/>
      <c r="H106" s="28"/>
      <c r="I106" s="28">
        <f t="shared" si="1"/>
        <v>10</v>
      </c>
      <c r="J106" s="35"/>
    </row>
    <row r="107">
      <c r="B107" s="28"/>
      <c r="C107" s="28"/>
      <c r="D107" s="65" t="s">
        <v>62</v>
      </c>
      <c r="E107" s="65">
        <v>10.0</v>
      </c>
      <c r="F107" s="28"/>
      <c r="G107" s="28"/>
      <c r="H107" s="28"/>
      <c r="I107" s="28">
        <f t="shared" si="1"/>
        <v>10</v>
      </c>
      <c r="J107" s="35"/>
    </row>
    <row r="108">
      <c r="B108" s="28"/>
      <c r="C108" s="28"/>
      <c r="D108" s="65" t="s">
        <v>77</v>
      </c>
      <c r="E108" s="65">
        <v>9.0</v>
      </c>
      <c r="F108" s="28"/>
      <c r="G108" s="28"/>
      <c r="H108" s="28"/>
      <c r="I108" s="28">
        <f t="shared" si="1"/>
        <v>9</v>
      </c>
      <c r="J108" s="35"/>
    </row>
    <row r="109">
      <c r="B109" s="28"/>
      <c r="C109" s="28"/>
      <c r="D109" s="65" t="s">
        <v>72</v>
      </c>
      <c r="E109" s="65">
        <v>5.0</v>
      </c>
      <c r="F109" s="28"/>
      <c r="G109" s="28"/>
      <c r="H109" s="28"/>
      <c r="I109" s="28">
        <f t="shared" si="1"/>
        <v>5</v>
      </c>
      <c r="J109" s="35"/>
    </row>
    <row r="110">
      <c r="B110" s="28"/>
      <c r="C110" s="28"/>
      <c r="D110" s="65" t="s">
        <v>76</v>
      </c>
      <c r="E110" s="65">
        <v>5.0</v>
      </c>
      <c r="F110" s="28"/>
      <c r="G110" s="28"/>
      <c r="H110" s="28"/>
      <c r="I110" s="28">
        <f t="shared" si="1"/>
        <v>5</v>
      </c>
      <c r="J110" s="35"/>
    </row>
    <row r="111">
      <c r="B111" s="28"/>
      <c r="C111" s="28"/>
      <c r="D111" s="65" t="s">
        <v>106</v>
      </c>
      <c r="E111" s="65">
        <v>4.0</v>
      </c>
      <c r="F111" s="28"/>
      <c r="G111" s="28"/>
      <c r="H111" s="28"/>
      <c r="I111" s="28">
        <f t="shared" si="1"/>
        <v>4</v>
      </c>
      <c r="J111" s="35"/>
    </row>
    <row r="112">
      <c r="B112" s="28"/>
      <c r="C112" s="28"/>
      <c r="D112" s="65" t="s">
        <v>53</v>
      </c>
      <c r="E112" s="65">
        <v>4.0</v>
      </c>
      <c r="F112" s="28"/>
      <c r="G112" s="28"/>
      <c r="H112" s="28"/>
      <c r="I112" s="28">
        <f t="shared" si="1"/>
        <v>4</v>
      </c>
      <c r="J112" s="35"/>
    </row>
    <row r="113">
      <c r="B113" s="28"/>
      <c r="C113" s="28"/>
      <c r="D113" s="65" t="s">
        <v>69</v>
      </c>
      <c r="E113" s="65">
        <v>3.0</v>
      </c>
      <c r="F113" s="28"/>
      <c r="G113" s="28"/>
      <c r="H113" s="28"/>
      <c r="I113" s="28">
        <f t="shared" si="1"/>
        <v>3</v>
      </c>
      <c r="J113" s="35"/>
    </row>
    <row r="114">
      <c r="B114" s="28"/>
      <c r="C114" s="28"/>
      <c r="D114" s="65" t="s">
        <v>59</v>
      </c>
      <c r="E114" s="65">
        <v>1.0</v>
      </c>
      <c r="F114" s="28"/>
      <c r="G114" s="28"/>
      <c r="H114" s="28"/>
      <c r="I114" s="28">
        <f t="shared" si="1"/>
        <v>1</v>
      </c>
      <c r="J114" s="35"/>
    </row>
    <row r="115">
      <c r="B115" s="28"/>
      <c r="C115" s="28"/>
      <c r="D115" s="65" t="s">
        <v>125</v>
      </c>
      <c r="E115" s="65">
        <v>1.0</v>
      </c>
      <c r="F115" s="28"/>
      <c r="G115" s="28"/>
      <c r="H115" s="28"/>
      <c r="I115" s="28">
        <f t="shared" si="1"/>
        <v>1</v>
      </c>
      <c r="J115" s="35"/>
    </row>
    <row r="116">
      <c r="B116" s="28"/>
      <c r="C116" s="28"/>
      <c r="D116" s="65" t="s">
        <v>113</v>
      </c>
      <c r="E116" s="65">
        <v>1.0</v>
      </c>
      <c r="F116" s="28"/>
      <c r="G116" s="28"/>
      <c r="H116" s="28"/>
      <c r="I116" s="28">
        <f t="shared" si="1"/>
        <v>1</v>
      </c>
      <c r="J116" s="35"/>
    </row>
    <row r="117">
      <c r="B117" s="28"/>
      <c r="C117" s="28"/>
      <c r="D117" s="65" t="s">
        <v>28</v>
      </c>
      <c r="E117" s="65">
        <v>1.0</v>
      </c>
      <c r="F117" s="28"/>
      <c r="G117" s="28"/>
      <c r="H117" s="28"/>
      <c r="I117" s="28">
        <f t="shared" si="1"/>
        <v>1</v>
      </c>
      <c r="J117" s="35"/>
    </row>
    <row r="118">
      <c r="B118" s="28"/>
      <c r="C118" s="28"/>
      <c r="D118" s="65" t="s">
        <v>89</v>
      </c>
      <c r="E118" s="65">
        <v>1.0</v>
      </c>
      <c r="F118" s="28"/>
      <c r="G118" s="28"/>
      <c r="H118" s="28"/>
      <c r="I118" s="28">
        <f t="shared" si="1"/>
        <v>1</v>
      </c>
      <c r="J118" s="13"/>
    </row>
    <row r="119">
      <c r="B119" s="6" t="s">
        <v>122</v>
      </c>
      <c r="C119" s="66" t="s">
        <v>99</v>
      </c>
      <c r="D119" s="65" t="s">
        <v>17</v>
      </c>
      <c r="E119" s="65">
        <v>17.0</v>
      </c>
      <c r="F119" s="28"/>
      <c r="G119" s="28"/>
      <c r="H119" s="28"/>
      <c r="I119" s="28">
        <f t="shared" si="1"/>
        <v>17</v>
      </c>
      <c r="J119" s="29">
        <f>SUM(I119:I131)</f>
        <v>76</v>
      </c>
    </row>
    <row r="120">
      <c r="B120" s="28"/>
      <c r="C120" s="28"/>
      <c r="D120" s="65" t="s">
        <v>60</v>
      </c>
      <c r="E120" s="65">
        <v>15.0</v>
      </c>
      <c r="F120" s="28"/>
      <c r="G120" s="28"/>
      <c r="H120" s="6">
        <v>1.0</v>
      </c>
      <c r="I120" s="28">
        <f t="shared" si="1"/>
        <v>14</v>
      </c>
      <c r="J120" s="35"/>
    </row>
    <row r="121">
      <c r="B121" s="28"/>
      <c r="C121" s="28"/>
      <c r="D121" s="65" t="s">
        <v>56</v>
      </c>
      <c r="E121" s="65">
        <v>12.0</v>
      </c>
      <c r="F121" s="28"/>
      <c r="G121" s="28"/>
      <c r="H121" s="6">
        <v>3.0</v>
      </c>
      <c r="I121" s="28">
        <f t="shared" si="1"/>
        <v>9</v>
      </c>
      <c r="J121" s="35"/>
    </row>
    <row r="122">
      <c r="B122" s="28"/>
      <c r="C122" s="28"/>
      <c r="D122" s="65" t="s">
        <v>62</v>
      </c>
      <c r="E122" s="65">
        <v>8.0</v>
      </c>
      <c r="F122" s="28"/>
      <c r="G122" s="28"/>
      <c r="H122" s="28"/>
      <c r="I122" s="28">
        <f t="shared" si="1"/>
        <v>8</v>
      </c>
      <c r="J122" s="35"/>
    </row>
    <row r="123">
      <c r="B123" s="28"/>
      <c r="C123" s="28"/>
      <c r="D123" s="65" t="s">
        <v>76</v>
      </c>
      <c r="E123" s="65">
        <v>6.0</v>
      </c>
      <c r="F123" s="28"/>
      <c r="G123" s="28"/>
      <c r="H123" s="28"/>
      <c r="I123" s="28">
        <f t="shared" si="1"/>
        <v>6</v>
      </c>
      <c r="J123" s="35"/>
    </row>
    <row r="124">
      <c r="B124" s="28"/>
      <c r="C124" s="28"/>
      <c r="D124" s="65" t="s">
        <v>28</v>
      </c>
      <c r="E124" s="65">
        <v>5.0</v>
      </c>
      <c r="F124" s="28"/>
      <c r="G124" s="28"/>
      <c r="H124" s="28"/>
      <c r="I124" s="28">
        <f t="shared" si="1"/>
        <v>5</v>
      </c>
      <c r="J124" s="35"/>
    </row>
    <row r="125">
      <c r="B125" s="28"/>
      <c r="C125" s="28"/>
      <c r="D125" s="65" t="s">
        <v>105</v>
      </c>
      <c r="E125" s="65">
        <v>5.0</v>
      </c>
      <c r="F125" s="28"/>
      <c r="G125" s="28"/>
      <c r="H125" s="28"/>
      <c r="I125" s="28">
        <f t="shared" si="1"/>
        <v>5</v>
      </c>
      <c r="J125" s="35"/>
    </row>
    <row r="126">
      <c r="B126" s="28"/>
      <c r="C126" s="28"/>
      <c r="D126" s="65" t="s">
        <v>69</v>
      </c>
      <c r="E126" s="65">
        <v>4.0</v>
      </c>
      <c r="F126" s="28"/>
      <c r="G126" s="28"/>
      <c r="H126" s="28"/>
      <c r="I126" s="28">
        <f t="shared" si="1"/>
        <v>4</v>
      </c>
      <c r="J126" s="35"/>
    </row>
    <row r="127">
      <c r="B127" s="28"/>
      <c r="C127" s="28"/>
      <c r="D127" s="65" t="s">
        <v>89</v>
      </c>
      <c r="E127" s="65">
        <v>3.0</v>
      </c>
      <c r="F127" s="28"/>
      <c r="G127" s="28"/>
      <c r="H127" s="28"/>
      <c r="I127" s="28">
        <f t="shared" si="1"/>
        <v>3</v>
      </c>
      <c r="J127" s="35"/>
    </row>
    <row r="128">
      <c r="B128" s="28"/>
      <c r="C128" s="28"/>
      <c r="D128" s="65" t="s">
        <v>77</v>
      </c>
      <c r="E128" s="65">
        <v>2.0</v>
      </c>
      <c r="F128" s="28"/>
      <c r="G128" s="28"/>
      <c r="H128" s="28"/>
      <c r="I128" s="28">
        <f t="shared" si="1"/>
        <v>2</v>
      </c>
      <c r="J128" s="35"/>
    </row>
    <row r="129">
      <c r="B129" s="28"/>
      <c r="C129" s="28"/>
      <c r="D129" s="65" t="s">
        <v>106</v>
      </c>
      <c r="E129" s="65">
        <v>1.0</v>
      </c>
      <c r="F129" s="28"/>
      <c r="G129" s="28"/>
      <c r="H129" s="28"/>
      <c r="I129" s="28">
        <f t="shared" si="1"/>
        <v>1</v>
      </c>
      <c r="J129" s="35"/>
    </row>
    <row r="130">
      <c r="B130" s="28"/>
      <c r="C130" s="28"/>
      <c r="D130" s="65" t="s">
        <v>71</v>
      </c>
      <c r="E130" s="65">
        <v>1.0</v>
      </c>
      <c r="F130" s="28"/>
      <c r="G130" s="28"/>
      <c r="H130" s="28"/>
      <c r="I130" s="28">
        <f t="shared" si="1"/>
        <v>1</v>
      </c>
      <c r="J130" s="35"/>
    </row>
    <row r="131">
      <c r="B131" s="28"/>
      <c r="C131" s="28"/>
      <c r="D131" s="65" t="s">
        <v>104</v>
      </c>
      <c r="E131" s="65">
        <v>1.0</v>
      </c>
      <c r="F131" s="28"/>
      <c r="G131" s="28"/>
      <c r="H131" s="28"/>
      <c r="I131" s="28">
        <f t="shared" si="1"/>
        <v>1</v>
      </c>
      <c r="J131" s="13"/>
    </row>
    <row r="132">
      <c r="B132" s="6" t="s">
        <v>124</v>
      </c>
      <c r="C132" s="66" t="s">
        <v>100</v>
      </c>
      <c r="D132" s="65" t="s">
        <v>105</v>
      </c>
      <c r="E132" s="65">
        <v>19.0</v>
      </c>
      <c r="F132" s="28"/>
      <c r="G132" s="28"/>
      <c r="H132" s="28"/>
      <c r="I132" s="28">
        <f t="shared" si="1"/>
        <v>19</v>
      </c>
      <c r="J132" s="29">
        <f>SUM(I132:I148)</f>
        <v>114</v>
      </c>
    </row>
    <row r="133">
      <c r="B133" s="28"/>
      <c r="C133" s="28"/>
      <c r="D133" s="65" t="s">
        <v>17</v>
      </c>
      <c r="E133" s="65">
        <v>19.0</v>
      </c>
      <c r="F133" s="28"/>
      <c r="G133" s="28"/>
      <c r="H133" s="28"/>
      <c r="I133" s="28">
        <f t="shared" si="1"/>
        <v>19</v>
      </c>
      <c r="J133" s="35"/>
    </row>
    <row r="134">
      <c r="B134" s="28"/>
      <c r="C134" s="28"/>
      <c r="D134" s="65" t="s">
        <v>60</v>
      </c>
      <c r="E134" s="65">
        <v>16.0</v>
      </c>
      <c r="F134" s="28"/>
      <c r="G134" s="28"/>
      <c r="H134" s="28"/>
      <c r="I134" s="28">
        <f t="shared" si="1"/>
        <v>16</v>
      </c>
      <c r="J134" s="35"/>
    </row>
    <row r="135">
      <c r="B135" s="28"/>
      <c r="C135" s="28"/>
      <c r="D135" s="65" t="s">
        <v>62</v>
      </c>
      <c r="E135" s="65">
        <v>8.0</v>
      </c>
      <c r="F135" s="28"/>
      <c r="G135" s="28"/>
      <c r="H135" s="28"/>
      <c r="I135" s="28">
        <f t="shared" si="1"/>
        <v>8</v>
      </c>
      <c r="J135" s="35"/>
    </row>
    <row r="136">
      <c r="B136" s="28"/>
      <c r="C136" s="28"/>
      <c r="D136" s="65" t="s">
        <v>69</v>
      </c>
      <c r="E136" s="65">
        <v>6.0</v>
      </c>
      <c r="F136" s="28"/>
      <c r="G136" s="28"/>
      <c r="H136" s="28"/>
      <c r="I136" s="28">
        <f t="shared" si="1"/>
        <v>6</v>
      </c>
      <c r="J136" s="35"/>
    </row>
    <row r="137">
      <c r="B137" s="28"/>
      <c r="C137" s="28"/>
      <c r="D137" s="65" t="s">
        <v>65</v>
      </c>
      <c r="E137" s="65">
        <v>6.0</v>
      </c>
      <c r="F137" s="28"/>
      <c r="G137" s="28"/>
      <c r="H137" s="28"/>
      <c r="I137" s="28">
        <f t="shared" si="1"/>
        <v>6</v>
      </c>
      <c r="J137" s="35"/>
    </row>
    <row r="138">
      <c r="B138" s="28"/>
      <c r="C138" s="28"/>
      <c r="D138" s="65" t="s">
        <v>76</v>
      </c>
      <c r="E138" s="65">
        <v>6.0</v>
      </c>
      <c r="F138" s="28"/>
      <c r="G138" s="28"/>
      <c r="H138" s="28"/>
      <c r="I138" s="28">
        <f t="shared" si="1"/>
        <v>6</v>
      </c>
      <c r="J138" s="35"/>
    </row>
    <row r="139">
      <c r="B139" s="28"/>
      <c r="C139" s="28"/>
      <c r="D139" s="65" t="s">
        <v>101</v>
      </c>
      <c r="E139" s="65">
        <v>6.0</v>
      </c>
      <c r="F139" s="28"/>
      <c r="G139" s="28"/>
      <c r="H139" s="28"/>
      <c r="I139" s="28">
        <f t="shared" si="1"/>
        <v>6</v>
      </c>
      <c r="J139" s="35"/>
    </row>
    <row r="140">
      <c r="B140" s="28"/>
      <c r="C140" s="28"/>
      <c r="D140" s="65" t="s">
        <v>53</v>
      </c>
      <c r="E140" s="65">
        <v>6.0</v>
      </c>
      <c r="F140" s="28"/>
      <c r="G140" s="28"/>
      <c r="H140" s="28"/>
      <c r="I140" s="28">
        <f t="shared" si="1"/>
        <v>6</v>
      </c>
      <c r="J140" s="35"/>
    </row>
    <row r="141">
      <c r="B141" s="28"/>
      <c r="C141" s="28"/>
      <c r="D141" s="65" t="s">
        <v>72</v>
      </c>
      <c r="E141" s="65">
        <v>5.0</v>
      </c>
      <c r="F141" s="28"/>
      <c r="G141" s="28"/>
      <c r="H141" s="28"/>
      <c r="I141" s="28">
        <f t="shared" si="1"/>
        <v>5</v>
      </c>
      <c r="J141" s="35"/>
    </row>
    <row r="142">
      <c r="B142" s="28"/>
      <c r="C142" s="28"/>
      <c r="D142" s="65" t="s">
        <v>28</v>
      </c>
      <c r="E142" s="65">
        <v>4.0</v>
      </c>
      <c r="F142" s="28"/>
      <c r="G142" s="28"/>
      <c r="H142" s="28"/>
      <c r="I142" s="28">
        <f t="shared" si="1"/>
        <v>4</v>
      </c>
      <c r="J142" s="35"/>
    </row>
    <row r="143">
      <c r="B143" s="28"/>
      <c r="C143" s="28"/>
      <c r="D143" s="65" t="s">
        <v>77</v>
      </c>
      <c r="E143" s="65">
        <v>4.0</v>
      </c>
      <c r="F143" s="28"/>
      <c r="G143" s="28"/>
      <c r="H143" s="28"/>
      <c r="I143" s="28">
        <f t="shared" si="1"/>
        <v>4</v>
      </c>
      <c r="J143" s="35"/>
    </row>
    <row r="144">
      <c r="B144" s="28"/>
      <c r="C144" s="28"/>
      <c r="D144" s="65" t="s">
        <v>94</v>
      </c>
      <c r="E144" s="65">
        <v>3.0</v>
      </c>
      <c r="F144" s="28"/>
      <c r="G144" s="28"/>
      <c r="H144" s="28"/>
      <c r="I144" s="28">
        <f t="shared" si="1"/>
        <v>3</v>
      </c>
      <c r="J144" s="35"/>
    </row>
    <row r="145">
      <c r="B145" s="28"/>
      <c r="C145" s="28"/>
      <c r="D145" s="65" t="s">
        <v>89</v>
      </c>
      <c r="E145" s="65">
        <v>3.0</v>
      </c>
      <c r="F145" s="28"/>
      <c r="G145" s="28"/>
      <c r="H145" s="28"/>
      <c r="I145" s="28">
        <f t="shared" si="1"/>
        <v>3</v>
      </c>
      <c r="J145" s="35"/>
    </row>
    <row r="146">
      <c r="B146" s="28"/>
      <c r="C146" s="28"/>
      <c r="D146" s="65" t="s">
        <v>104</v>
      </c>
      <c r="E146" s="65">
        <v>1.0</v>
      </c>
      <c r="F146" s="28"/>
      <c r="G146" s="28"/>
      <c r="H146" s="28"/>
      <c r="I146" s="28">
        <f t="shared" si="1"/>
        <v>1</v>
      </c>
      <c r="J146" s="35"/>
    </row>
    <row r="147">
      <c r="B147" s="28"/>
      <c r="C147" s="28"/>
      <c r="D147" s="65" t="s">
        <v>102</v>
      </c>
      <c r="E147" s="65">
        <v>1.0</v>
      </c>
      <c r="F147" s="28"/>
      <c r="G147" s="28"/>
      <c r="H147" s="28"/>
      <c r="I147" s="28">
        <f t="shared" si="1"/>
        <v>1</v>
      </c>
      <c r="J147" s="35"/>
    </row>
    <row r="148">
      <c r="B148" s="28"/>
      <c r="C148" s="28"/>
      <c r="D148" s="65" t="s">
        <v>79</v>
      </c>
      <c r="E148" s="65">
        <v>1.0</v>
      </c>
      <c r="F148" s="28"/>
      <c r="G148" s="28"/>
      <c r="H148" s="28"/>
      <c r="I148" s="28">
        <f t="shared" si="1"/>
        <v>1</v>
      </c>
      <c r="J148" s="13"/>
    </row>
    <row r="149">
      <c r="B149" s="28"/>
      <c r="C149" s="28"/>
      <c r="D149" s="28"/>
      <c r="E149" s="28"/>
      <c r="F149" s="28"/>
      <c r="G149" s="28"/>
      <c r="H149" s="28"/>
      <c r="I149" s="28"/>
      <c r="J149" s="28"/>
    </row>
    <row r="150">
      <c r="B150" s="28"/>
      <c r="C150" s="28"/>
      <c r="D150" s="28"/>
      <c r="E150" s="28"/>
      <c r="F150" s="28"/>
      <c r="G150" s="28"/>
      <c r="H150" s="28"/>
      <c r="I150" s="28"/>
      <c r="J150" s="28"/>
    </row>
    <row r="151">
      <c r="B151" s="28"/>
      <c r="C151" s="28"/>
      <c r="D151" s="28"/>
      <c r="E151" s="28"/>
      <c r="F151" s="28"/>
      <c r="G151" s="28"/>
      <c r="H151" s="28"/>
      <c r="I151" s="28"/>
      <c r="J151" s="28"/>
    </row>
    <row r="152">
      <c r="B152" s="28"/>
      <c r="C152" s="28"/>
      <c r="D152" s="28"/>
      <c r="E152" s="28"/>
      <c r="F152" s="28"/>
      <c r="G152" s="28"/>
      <c r="H152" s="28"/>
      <c r="I152" s="28"/>
      <c r="J152" s="28"/>
    </row>
    <row r="153">
      <c r="B153" s="28"/>
      <c r="C153" s="28"/>
      <c r="D153" s="28"/>
      <c r="E153" s="28"/>
      <c r="F153" s="28"/>
      <c r="G153" s="28"/>
      <c r="H153" s="28"/>
      <c r="I153" s="28"/>
      <c r="J153" s="28"/>
    </row>
    <row r="154">
      <c r="B154" s="28"/>
      <c r="C154" s="28"/>
      <c r="D154" s="28"/>
      <c r="E154" s="28"/>
      <c r="F154" s="28"/>
      <c r="G154" s="28"/>
      <c r="H154" s="28"/>
      <c r="I154" s="28"/>
      <c r="J154" s="28"/>
    </row>
    <row r="155">
      <c r="B155" s="28"/>
      <c r="C155" s="28"/>
      <c r="D155" s="28"/>
      <c r="E155" s="28"/>
      <c r="F155" s="28"/>
      <c r="G155" s="28"/>
      <c r="H155" s="28"/>
      <c r="I155" s="28"/>
      <c r="J155" s="28"/>
    </row>
    <row r="156">
      <c r="B156" s="28"/>
      <c r="C156" s="28"/>
      <c r="D156" s="28"/>
      <c r="E156" s="28"/>
      <c r="F156" s="28"/>
      <c r="G156" s="28"/>
      <c r="H156" s="28"/>
      <c r="I156" s="28"/>
      <c r="J156" s="28"/>
    </row>
    <row r="157">
      <c r="B157" s="28"/>
      <c r="C157" s="28"/>
      <c r="D157" s="28"/>
      <c r="E157" s="28"/>
      <c r="F157" s="28"/>
      <c r="G157" s="28"/>
      <c r="H157" s="28"/>
      <c r="I157" s="28"/>
      <c r="J157" s="28"/>
    </row>
    <row r="158">
      <c r="B158" s="28"/>
      <c r="C158" s="28"/>
      <c r="D158" s="28"/>
      <c r="E158" s="28"/>
      <c r="F158" s="28"/>
      <c r="G158" s="28"/>
      <c r="H158" s="28"/>
      <c r="I158" s="28"/>
      <c r="J158" s="28"/>
    </row>
    <row r="159">
      <c r="B159" s="28"/>
      <c r="C159" s="28"/>
      <c r="D159" s="28"/>
      <c r="E159" s="28"/>
      <c r="F159" s="28"/>
      <c r="G159" s="28"/>
      <c r="H159" s="28"/>
      <c r="I159" s="28"/>
      <c r="J159" s="28"/>
    </row>
    <row r="160">
      <c r="B160" s="28"/>
      <c r="C160" s="28"/>
      <c r="D160" s="28"/>
      <c r="E160" s="28"/>
      <c r="F160" s="28"/>
      <c r="G160" s="28"/>
      <c r="H160" s="28"/>
      <c r="I160" s="28"/>
      <c r="J160" s="28"/>
    </row>
    <row r="161">
      <c r="B161" s="28"/>
      <c r="C161" s="28"/>
      <c r="D161" s="28"/>
      <c r="E161" s="28"/>
      <c r="F161" s="28"/>
      <c r="G161" s="28"/>
      <c r="H161" s="28"/>
      <c r="I161" s="28"/>
      <c r="J161" s="28"/>
    </row>
    <row r="162">
      <c r="B162" s="28"/>
      <c r="C162" s="28"/>
      <c r="D162" s="28"/>
      <c r="E162" s="28"/>
      <c r="F162" s="28"/>
      <c r="G162" s="28"/>
      <c r="H162" s="28"/>
      <c r="I162" s="28"/>
      <c r="J162" s="28"/>
    </row>
    <row r="163">
      <c r="B163" s="28"/>
      <c r="C163" s="28"/>
      <c r="D163" s="28"/>
      <c r="E163" s="28"/>
      <c r="F163" s="28"/>
      <c r="G163" s="28"/>
      <c r="H163" s="28"/>
      <c r="I163" s="28"/>
      <c r="J163" s="28"/>
    </row>
    <row r="164">
      <c r="B164" s="28"/>
      <c r="C164" s="28"/>
      <c r="D164" s="28"/>
      <c r="E164" s="28"/>
      <c r="F164" s="28"/>
      <c r="G164" s="28"/>
      <c r="H164" s="28"/>
      <c r="I164" s="28"/>
      <c r="J164" s="28"/>
    </row>
    <row r="165">
      <c r="B165" s="28"/>
      <c r="C165" s="28"/>
      <c r="D165" s="28"/>
      <c r="E165" s="28"/>
      <c r="F165" s="28"/>
      <c r="G165" s="28"/>
      <c r="H165" s="28"/>
      <c r="I165" s="28"/>
      <c r="J165" s="28"/>
    </row>
    <row r="166">
      <c r="B166" s="28"/>
      <c r="C166" s="28"/>
      <c r="D166" s="28"/>
      <c r="E166" s="28"/>
      <c r="F166" s="28"/>
      <c r="G166" s="28"/>
      <c r="H166" s="28"/>
      <c r="I166" s="28"/>
      <c r="J166" s="28"/>
    </row>
    <row r="167">
      <c r="B167" s="28"/>
      <c r="C167" s="28"/>
      <c r="D167" s="28"/>
      <c r="E167" s="28"/>
      <c r="F167" s="28"/>
      <c r="G167" s="28"/>
      <c r="H167" s="28"/>
      <c r="I167" s="28"/>
      <c r="J167" s="28"/>
    </row>
    <row r="168">
      <c r="B168" s="28"/>
      <c r="C168" s="28"/>
      <c r="D168" s="28"/>
      <c r="E168" s="28"/>
      <c r="F168" s="28"/>
      <c r="G168" s="28"/>
      <c r="H168" s="28"/>
      <c r="I168" s="28"/>
      <c r="J168" s="28"/>
    </row>
    <row r="169">
      <c r="B169" s="28"/>
      <c r="C169" s="28"/>
      <c r="D169" s="28"/>
      <c r="E169" s="28"/>
      <c r="F169" s="28"/>
      <c r="G169" s="28"/>
      <c r="H169" s="28"/>
      <c r="I169" s="28"/>
      <c r="J169" s="28"/>
    </row>
    <row r="170">
      <c r="B170" s="28"/>
      <c r="C170" s="28"/>
      <c r="D170" s="28"/>
      <c r="E170" s="28"/>
      <c r="F170" s="28"/>
      <c r="G170" s="28"/>
      <c r="H170" s="28"/>
      <c r="I170" s="28"/>
      <c r="J170" s="28"/>
    </row>
    <row r="171">
      <c r="B171" s="28"/>
      <c r="C171" s="28"/>
      <c r="D171" s="28"/>
      <c r="E171" s="28"/>
      <c r="F171" s="28"/>
      <c r="G171" s="28"/>
      <c r="H171" s="28"/>
      <c r="I171" s="28"/>
      <c r="J171" s="28"/>
    </row>
    <row r="172">
      <c r="B172" s="28"/>
      <c r="C172" s="28"/>
      <c r="D172" s="28"/>
      <c r="E172" s="28"/>
      <c r="F172" s="28"/>
      <c r="G172" s="28"/>
      <c r="H172" s="28"/>
      <c r="I172" s="28"/>
      <c r="J172" s="28"/>
    </row>
    <row r="173">
      <c r="B173" s="28"/>
      <c r="C173" s="28"/>
      <c r="D173" s="28"/>
      <c r="E173" s="28"/>
      <c r="F173" s="28"/>
      <c r="G173" s="28"/>
      <c r="H173" s="28"/>
      <c r="I173" s="28"/>
      <c r="J173" s="28"/>
    </row>
    <row r="174">
      <c r="B174" s="28"/>
      <c r="C174" s="28"/>
      <c r="D174" s="28"/>
      <c r="E174" s="28"/>
      <c r="F174" s="28"/>
      <c r="G174" s="28"/>
      <c r="H174" s="28"/>
      <c r="I174" s="28"/>
      <c r="J174" s="28"/>
    </row>
    <row r="175">
      <c r="B175" s="28"/>
      <c r="C175" s="28"/>
      <c r="D175" s="28"/>
      <c r="E175" s="28"/>
      <c r="F175" s="28"/>
      <c r="G175" s="28"/>
      <c r="H175" s="28"/>
      <c r="I175" s="28"/>
      <c r="J175" s="28"/>
    </row>
    <row r="176">
      <c r="B176" s="28"/>
      <c r="C176" s="28"/>
      <c r="D176" s="28"/>
      <c r="E176" s="28"/>
      <c r="F176" s="28"/>
      <c r="G176" s="28"/>
      <c r="H176" s="28"/>
      <c r="I176" s="28"/>
      <c r="J176" s="28"/>
    </row>
    <row r="177">
      <c r="B177" s="28"/>
      <c r="C177" s="28"/>
      <c r="D177" s="28"/>
      <c r="E177" s="28"/>
      <c r="F177" s="28"/>
      <c r="G177" s="28"/>
      <c r="H177" s="28"/>
      <c r="I177" s="28"/>
      <c r="J177" s="28"/>
    </row>
    <row r="178">
      <c r="B178" s="28"/>
      <c r="C178" s="28"/>
      <c r="D178" s="28"/>
      <c r="E178" s="28"/>
      <c r="F178" s="28"/>
      <c r="G178" s="28"/>
      <c r="H178" s="28"/>
      <c r="I178" s="28"/>
      <c r="J178" s="28"/>
    </row>
    <row r="179">
      <c r="B179" s="28"/>
      <c r="C179" s="28"/>
      <c r="D179" s="28"/>
      <c r="E179" s="28"/>
      <c r="F179" s="28"/>
      <c r="G179" s="28"/>
      <c r="H179" s="28"/>
      <c r="I179" s="28"/>
      <c r="J179" s="28"/>
    </row>
    <row r="180">
      <c r="B180" s="28"/>
      <c r="C180" s="28"/>
      <c r="D180" s="28"/>
      <c r="E180" s="28"/>
      <c r="F180" s="28"/>
      <c r="G180" s="28"/>
      <c r="H180" s="28"/>
      <c r="I180" s="28"/>
      <c r="J180" s="28"/>
    </row>
    <row r="181">
      <c r="B181" s="28"/>
      <c r="C181" s="28"/>
      <c r="D181" s="28"/>
      <c r="E181" s="28"/>
      <c r="F181" s="28"/>
      <c r="G181" s="28"/>
      <c r="H181" s="28"/>
      <c r="I181" s="28"/>
      <c r="J181" s="28"/>
    </row>
    <row r="182">
      <c r="B182" s="28"/>
      <c r="C182" s="28"/>
      <c r="D182" s="28"/>
      <c r="E182" s="28"/>
      <c r="F182" s="28"/>
      <c r="G182" s="28"/>
      <c r="H182" s="28"/>
      <c r="I182" s="28"/>
      <c r="J182" s="28"/>
    </row>
    <row r="183">
      <c r="B183" s="28"/>
      <c r="C183" s="28"/>
      <c r="D183" s="28"/>
      <c r="E183" s="28"/>
      <c r="F183" s="28"/>
      <c r="G183" s="28"/>
      <c r="H183" s="28"/>
      <c r="I183" s="28"/>
      <c r="J183" s="28"/>
    </row>
    <row r="184">
      <c r="B184" s="28"/>
      <c r="C184" s="28"/>
      <c r="D184" s="28"/>
      <c r="E184" s="28"/>
      <c r="F184" s="28"/>
      <c r="G184" s="28"/>
      <c r="H184" s="28"/>
      <c r="I184" s="28"/>
      <c r="J184" s="28"/>
    </row>
    <row r="185">
      <c r="B185" s="28"/>
      <c r="C185" s="28"/>
      <c r="D185" s="28"/>
      <c r="E185" s="28"/>
      <c r="F185" s="28"/>
      <c r="G185" s="28"/>
      <c r="H185" s="28"/>
      <c r="I185" s="28"/>
      <c r="J185" s="28"/>
    </row>
    <row r="186">
      <c r="B186" s="28"/>
      <c r="C186" s="28"/>
      <c r="D186" s="28"/>
      <c r="E186" s="28"/>
      <c r="F186" s="28"/>
      <c r="G186" s="28"/>
      <c r="H186" s="28"/>
      <c r="I186" s="28"/>
      <c r="J186" s="28"/>
    </row>
    <row r="187">
      <c r="B187" s="28"/>
      <c r="C187" s="28"/>
      <c r="D187" s="28"/>
      <c r="E187" s="28"/>
      <c r="F187" s="28"/>
      <c r="G187" s="28"/>
      <c r="H187" s="28"/>
      <c r="I187" s="28"/>
      <c r="J187" s="28"/>
    </row>
    <row r="188">
      <c r="B188" s="28"/>
      <c r="C188" s="28"/>
      <c r="D188" s="28"/>
      <c r="E188" s="28"/>
      <c r="F188" s="28"/>
      <c r="G188" s="28"/>
      <c r="H188" s="28"/>
      <c r="I188" s="28"/>
      <c r="J188" s="28"/>
    </row>
    <row r="189">
      <c r="B189" s="28"/>
      <c r="C189" s="28"/>
      <c r="D189" s="28"/>
      <c r="E189" s="28"/>
      <c r="F189" s="28"/>
      <c r="G189" s="28"/>
      <c r="H189" s="28"/>
      <c r="I189" s="28"/>
      <c r="J189" s="28"/>
    </row>
    <row r="190">
      <c r="B190" s="28"/>
      <c r="C190" s="28"/>
      <c r="D190" s="28"/>
      <c r="E190" s="28"/>
      <c r="F190" s="28"/>
      <c r="G190" s="28"/>
      <c r="H190" s="28"/>
      <c r="I190" s="28"/>
      <c r="J190" s="28"/>
    </row>
    <row r="191">
      <c r="B191" s="28"/>
      <c r="C191" s="28"/>
      <c r="D191" s="28"/>
      <c r="E191" s="28"/>
      <c r="F191" s="28"/>
      <c r="G191" s="28"/>
      <c r="H191" s="28"/>
      <c r="I191" s="28"/>
      <c r="J191" s="28"/>
    </row>
    <row r="192">
      <c r="B192" s="28"/>
      <c r="C192" s="28"/>
      <c r="D192" s="28"/>
      <c r="E192" s="28"/>
      <c r="F192" s="28"/>
      <c r="G192" s="28"/>
      <c r="H192" s="28"/>
      <c r="I192" s="28"/>
      <c r="J192" s="28"/>
    </row>
    <row r="193">
      <c r="B193" s="28"/>
      <c r="C193" s="28"/>
      <c r="D193" s="28"/>
      <c r="E193" s="28"/>
      <c r="F193" s="28"/>
      <c r="G193" s="28"/>
      <c r="H193" s="28"/>
      <c r="I193" s="28"/>
      <c r="J193" s="28"/>
    </row>
    <row r="194">
      <c r="B194" s="28"/>
      <c r="C194" s="28"/>
      <c r="D194" s="28"/>
      <c r="E194" s="28"/>
      <c r="F194" s="28"/>
      <c r="G194" s="28"/>
      <c r="H194" s="28"/>
      <c r="I194" s="28"/>
      <c r="J194" s="28"/>
    </row>
    <row r="195">
      <c r="B195" s="28"/>
      <c r="C195" s="28"/>
      <c r="D195" s="28"/>
      <c r="E195" s="28"/>
      <c r="F195" s="28"/>
      <c r="G195" s="28"/>
      <c r="H195" s="28"/>
      <c r="I195" s="28"/>
      <c r="J195" s="28"/>
    </row>
    <row r="196">
      <c r="B196" s="28"/>
      <c r="C196" s="28"/>
      <c r="D196" s="28"/>
      <c r="E196" s="28"/>
      <c r="F196" s="28"/>
      <c r="G196" s="28"/>
      <c r="H196" s="28"/>
      <c r="I196" s="28"/>
      <c r="J196" s="28"/>
    </row>
    <row r="197">
      <c r="B197" s="28"/>
      <c r="C197" s="28"/>
      <c r="D197" s="28"/>
      <c r="E197" s="28"/>
      <c r="F197" s="28"/>
      <c r="G197" s="28"/>
      <c r="H197" s="28"/>
      <c r="I197" s="28"/>
      <c r="J197" s="28"/>
    </row>
    <row r="198">
      <c r="B198" s="28"/>
      <c r="C198" s="28"/>
      <c r="D198" s="28"/>
      <c r="E198" s="28"/>
      <c r="F198" s="28"/>
      <c r="G198" s="28"/>
      <c r="H198" s="28"/>
      <c r="I198" s="28"/>
      <c r="J198" s="28"/>
    </row>
    <row r="199">
      <c r="B199" s="28"/>
      <c r="C199" s="28"/>
      <c r="D199" s="28"/>
      <c r="E199" s="28"/>
      <c r="F199" s="28"/>
      <c r="G199" s="28"/>
      <c r="H199" s="28"/>
      <c r="I199" s="28"/>
      <c r="J199" s="28"/>
    </row>
    <row r="200">
      <c r="B200" s="28"/>
      <c r="C200" s="28"/>
      <c r="D200" s="28"/>
      <c r="E200" s="28"/>
      <c r="F200" s="28"/>
      <c r="G200" s="28"/>
      <c r="H200" s="28"/>
      <c r="I200" s="28"/>
      <c r="J200" s="28"/>
    </row>
  </sheetData>
  <mergeCells count="8">
    <mergeCell ref="J4:J21"/>
    <mergeCell ref="J22:J41"/>
    <mergeCell ref="J42:J62"/>
    <mergeCell ref="J63:J82"/>
    <mergeCell ref="J83:J102"/>
    <mergeCell ref="J103:J118"/>
    <mergeCell ref="J119:J131"/>
    <mergeCell ref="J132:J1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86"/>
    <col customWidth="1" min="3" max="3" width="18.14"/>
    <col customWidth="1" min="4" max="4" width="21.0"/>
    <col customWidth="1" min="5" max="5" width="10.43"/>
    <col customWidth="1" min="8" max="8" width="12.14"/>
    <col customWidth="1" min="9" max="9" width="12.43"/>
    <col customWidth="1" min="10" max="10" width="20.71"/>
    <col customWidth="1" min="16" max="16" width="17.0"/>
    <col customWidth="1" min="21" max="21" width="20.0"/>
  </cols>
  <sheetData>
    <row r="1">
      <c r="M1" s="75" t="s">
        <v>18</v>
      </c>
      <c r="N1" s="76">
        <v>1000.0</v>
      </c>
    </row>
    <row r="2">
      <c r="M2" s="75" t="s">
        <v>48</v>
      </c>
      <c r="N2" s="77">
        <v>500.0</v>
      </c>
    </row>
    <row r="3">
      <c r="B3" s="3" t="s">
        <v>1</v>
      </c>
      <c r="C3" s="3" t="s">
        <v>4</v>
      </c>
      <c r="D3" s="3" t="s">
        <v>5</v>
      </c>
      <c r="E3" s="3" t="s">
        <v>7</v>
      </c>
      <c r="F3" s="3" t="s">
        <v>8</v>
      </c>
      <c r="G3" s="3" t="s">
        <v>9</v>
      </c>
      <c r="H3" s="9" t="s">
        <v>16</v>
      </c>
      <c r="I3" s="3" t="s">
        <v>12</v>
      </c>
      <c r="J3" s="3" t="s">
        <v>13</v>
      </c>
      <c r="K3" s="6" t="s">
        <v>137</v>
      </c>
      <c r="L3" s="78" t="s">
        <v>138</v>
      </c>
      <c r="M3" s="79" t="s">
        <v>139</v>
      </c>
      <c r="U3" s="80" t="s">
        <v>140</v>
      </c>
    </row>
    <row r="4">
      <c r="B4" s="6" t="s">
        <v>14</v>
      </c>
      <c r="C4" s="81" t="s">
        <v>141</v>
      </c>
      <c r="D4" s="65" t="s">
        <v>60</v>
      </c>
      <c r="E4" s="65">
        <v>13.0</v>
      </c>
      <c r="F4" s="28"/>
      <c r="G4" s="28"/>
      <c r="H4" s="28"/>
      <c r="I4" s="28">
        <f t="shared" ref="I4:I72" si="1">E4-H4</f>
        <v>13</v>
      </c>
      <c r="J4" s="29">
        <f>SUM(I4:I18)</f>
        <v>84</v>
      </c>
      <c r="K4" s="65" t="s">
        <v>142</v>
      </c>
      <c r="L4" s="65">
        <v>2.0</v>
      </c>
      <c r="M4" s="29">
        <f>SUM(L4:L18)</f>
        <v>2</v>
      </c>
      <c r="P4" s="55" t="s">
        <v>49</v>
      </c>
      <c r="Q4" s="56" t="s">
        <v>50</v>
      </c>
      <c r="R4" s="56" t="s">
        <v>51</v>
      </c>
      <c r="S4" s="56" t="s">
        <v>9</v>
      </c>
      <c r="U4" s="82" t="s">
        <v>144</v>
      </c>
      <c r="V4" s="83">
        <f>sum(S5:S6)</f>
        <v>180500</v>
      </c>
    </row>
    <row r="5">
      <c r="B5" s="28"/>
      <c r="C5" s="28"/>
      <c r="D5" s="65" t="s">
        <v>62</v>
      </c>
      <c r="E5" s="65">
        <v>9.0</v>
      </c>
      <c r="F5" s="28"/>
      <c r="G5" s="28"/>
      <c r="H5" s="28"/>
      <c r="I5" s="28">
        <f t="shared" si="1"/>
        <v>9</v>
      </c>
      <c r="J5" s="35"/>
      <c r="K5" s="28"/>
      <c r="L5" s="28"/>
      <c r="M5" s="35"/>
      <c r="P5" s="65" t="s">
        <v>141</v>
      </c>
      <c r="Q5" s="28">
        <f>N1*J4</f>
        <v>84000</v>
      </c>
      <c r="R5" s="28">
        <f>N2*M4</f>
        <v>1000</v>
      </c>
      <c r="S5" s="28">
        <f t="shared" ref="S5:S8" si="2">sum(Q5:R5)</f>
        <v>85000</v>
      </c>
      <c r="U5" s="82" t="s">
        <v>145</v>
      </c>
      <c r="V5" s="83">
        <f>sum(S7:S8)</f>
        <v>252500</v>
      </c>
    </row>
    <row r="6">
      <c r="B6" s="28"/>
      <c r="C6" s="28"/>
      <c r="D6" s="65" t="s">
        <v>56</v>
      </c>
      <c r="E6" s="65">
        <v>9.0</v>
      </c>
      <c r="F6" s="28"/>
      <c r="G6" s="28"/>
      <c r="H6" s="28"/>
      <c r="I6" s="28">
        <f t="shared" si="1"/>
        <v>9</v>
      </c>
      <c r="J6" s="35"/>
      <c r="K6" s="28"/>
      <c r="L6" s="28"/>
      <c r="M6" s="35"/>
      <c r="P6" s="65" t="s">
        <v>146</v>
      </c>
      <c r="Q6" s="28">
        <f>N1*J19</f>
        <v>93000</v>
      </c>
      <c r="R6" s="28">
        <f>N2*M19</f>
        <v>2500</v>
      </c>
      <c r="S6" s="28">
        <f t="shared" si="2"/>
        <v>95500</v>
      </c>
      <c r="U6" s="83"/>
      <c r="V6" s="83"/>
    </row>
    <row r="7">
      <c r="B7" s="28"/>
      <c r="C7" s="28"/>
      <c r="D7" s="65" t="s">
        <v>101</v>
      </c>
      <c r="E7" s="65">
        <v>8.0</v>
      </c>
      <c r="F7" s="28"/>
      <c r="G7" s="28"/>
      <c r="H7" s="28"/>
      <c r="I7" s="28">
        <f t="shared" si="1"/>
        <v>8</v>
      </c>
      <c r="J7" s="35"/>
      <c r="K7" s="28"/>
      <c r="L7" s="28"/>
      <c r="M7" s="35"/>
      <c r="P7" s="65" t="s">
        <v>147</v>
      </c>
      <c r="Q7" s="28">
        <f>N1*J36</f>
        <v>72000</v>
      </c>
      <c r="R7" s="28">
        <f>N2*M36</f>
        <v>2500</v>
      </c>
      <c r="S7" s="28">
        <f t="shared" si="2"/>
        <v>74500</v>
      </c>
      <c r="U7" s="83"/>
      <c r="V7" s="83"/>
    </row>
    <row r="8">
      <c r="B8" s="28"/>
      <c r="C8" s="28"/>
      <c r="D8" s="65" t="s">
        <v>68</v>
      </c>
      <c r="E8" s="65">
        <v>7.0</v>
      </c>
      <c r="F8" s="28"/>
      <c r="G8" s="28"/>
      <c r="H8" s="28"/>
      <c r="I8" s="28">
        <f t="shared" si="1"/>
        <v>7</v>
      </c>
      <c r="J8" s="35"/>
      <c r="K8" s="28"/>
      <c r="L8" s="28"/>
      <c r="M8" s="35"/>
      <c r="P8" s="65" t="s">
        <v>148</v>
      </c>
      <c r="Q8" s="28">
        <f>N1*J54</f>
        <v>171000</v>
      </c>
      <c r="R8" s="28">
        <f>N2*M54</f>
        <v>7000</v>
      </c>
      <c r="S8" s="28">
        <f t="shared" si="2"/>
        <v>178000</v>
      </c>
    </row>
    <row r="9">
      <c r="B9" s="28"/>
      <c r="C9" s="28"/>
      <c r="D9" s="65" t="s">
        <v>17</v>
      </c>
      <c r="E9" s="65">
        <v>7.0</v>
      </c>
      <c r="F9" s="28"/>
      <c r="G9" s="28"/>
      <c r="H9" s="28"/>
      <c r="I9" s="28">
        <f t="shared" si="1"/>
        <v>7</v>
      </c>
      <c r="J9" s="35"/>
      <c r="K9" s="28"/>
      <c r="L9" s="28"/>
      <c r="M9" s="35"/>
      <c r="P9" s="28"/>
      <c r="Q9" s="28"/>
      <c r="R9" s="28"/>
      <c r="S9" s="28"/>
    </row>
    <row r="10">
      <c r="B10" s="28"/>
      <c r="C10" s="28"/>
      <c r="D10" s="65" t="s">
        <v>94</v>
      </c>
      <c r="E10" s="65">
        <v>6.0</v>
      </c>
      <c r="F10" s="28"/>
      <c r="G10" s="28"/>
      <c r="H10" s="28"/>
      <c r="I10" s="28">
        <f t="shared" si="1"/>
        <v>6</v>
      </c>
      <c r="J10" s="35"/>
      <c r="K10" s="28"/>
      <c r="L10" s="28"/>
      <c r="M10" s="35"/>
      <c r="P10" s="28"/>
      <c r="Q10" s="28"/>
      <c r="R10" s="28"/>
      <c r="S10" s="28"/>
    </row>
    <row r="11">
      <c r="B11" s="28"/>
      <c r="C11" s="28"/>
      <c r="D11" s="65" t="s">
        <v>72</v>
      </c>
      <c r="E11" s="65">
        <v>5.0</v>
      </c>
      <c r="F11" s="28"/>
      <c r="G11" s="28"/>
      <c r="H11" s="28"/>
      <c r="I11" s="28">
        <f t="shared" si="1"/>
        <v>5</v>
      </c>
      <c r="J11" s="35"/>
      <c r="K11" s="28"/>
      <c r="L11" s="28"/>
      <c r="M11" s="35"/>
      <c r="P11" s="28"/>
      <c r="Q11" s="28"/>
      <c r="R11" s="28"/>
      <c r="S11" s="28"/>
    </row>
    <row r="12">
      <c r="B12" s="28"/>
      <c r="C12" s="28"/>
      <c r="D12" s="65" t="s">
        <v>76</v>
      </c>
      <c r="E12" s="65">
        <v>5.0</v>
      </c>
      <c r="F12" s="28"/>
      <c r="G12" s="28"/>
      <c r="H12" s="28"/>
      <c r="I12" s="28">
        <f t="shared" si="1"/>
        <v>5</v>
      </c>
      <c r="J12" s="35"/>
      <c r="K12" s="28"/>
      <c r="L12" s="28"/>
      <c r="M12" s="35"/>
      <c r="P12" s="28"/>
      <c r="Q12" s="28"/>
      <c r="R12" s="28"/>
      <c r="S12" s="28"/>
    </row>
    <row r="13">
      <c r="B13" s="28"/>
      <c r="C13" s="28"/>
      <c r="D13" s="65" t="s">
        <v>65</v>
      </c>
      <c r="E13" s="65">
        <v>4.0</v>
      </c>
      <c r="F13" s="28"/>
      <c r="G13" s="28"/>
      <c r="H13" s="28"/>
      <c r="I13" s="28">
        <f t="shared" si="1"/>
        <v>4</v>
      </c>
      <c r="J13" s="35"/>
      <c r="K13" s="28"/>
      <c r="L13" s="28"/>
      <c r="M13" s="35"/>
      <c r="P13" s="28"/>
      <c r="Q13" s="28"/>
      <c r="R13" s="28"/>
      <c r="S13" s="28"/>
    </row>
    <row r="14">
      <c r="B14" s="28"/>
      <c r="C14" s="28"/>
      <c r="D14" s="65" t="s">
        <v>102</v>
      </c>
      <c r="E14" s="65">
        <v>3.0</v>
      </c>
      <c r="F14" s="28"/>
      <c r="G14" s="28"/>
      <c r="H14" s="28"/>
      <c r="I14" s="28">
        <f t="shared" si="1"/>
        <v>3</v>
      </c>
      <c r="J14" s="35"/>
      <c r="K14" s="28"/>
      <c r="L14" s="28"/>
      <c r="M14" s="35"/>
      <c r="P14" s="28"/>
      <c r="Q14" s="28"/>
      <c r="R14" s="28"/>
      <c r="S14" s="28"/>
    </row>
    <row r="15">
      <c r="B15" s="28"/>
      <c r="C15" s="28"/>
      <c r="D15" s="65" t="s">
        <v>106</v>
      </c>
      <c r="E15" s="65">
        <v>3.0</v>
      </c>
      <c r="F15" s="28"/>
      <c r="G15" s="28"/>
      <c r="H15" s="28"/>
      <c r="I15" s="28">
        <f t="shared" si="1"/>
        <v>3</v>
      </c>
      <c r="J15" s="35"/>
      <c r="K15" s="28"/>
      <c r="L15" s="28"/>
      <c r="M15" s="35"/>
      <c r="P15" s="28"/>
      <c r="Q15" s="28"/>
      <c r="R15" s="28"/>
      <c r="S15" s="28"/>
    </row>
    <row r="16">
      <c r="B16" s="28"/>
      <c r="C16" s="28"/>
      <c r="D16" s="65" t="s">
        <v>77</v>
      </c>
      <c r="E16" s="65">
        <v>2.0</v>
      </c>
      <c r="F16" s="28"/>
      <c r="G16" s="28"/>
      <c r="H16" s="28"/>
      <c r="I16" s="28">
        <f t="shared" si="1"/>
        <v>2</v>
      </c>
      <c r="J16" s="35"/>
      <c r="K16" s="28"/>
      <c r="L16" s="28"/>
      <c r="M16" s="35"/>
      <c r="P16" s="28"/>
      <c r="Q16" s="28"/>
      <c r="R16" s="28"/>
      <c r="S16" s="28"/>
    </row>
    <row r="17">
      <c r="B17" s="28"/>
      <c r="C17" s="28"/>
      <c r="D17" s="65" t="s">
        <v>53</v>
      </c>
      <c r="E17" s="65">
        <v>2.0</v>
      </c>
      <c r="F17" s="28"/>
      <c r="G17" s="28"/>
      <c r="H17" s="28"/>
      <c r="I17" s="28">
        <f t="shared" si="1"/>
        <v>2</v>
      </c>
      <c r="J17" s="35"/>
      <c r="K17" s="28"/>
      <c r="L17" s="28"/>
      <c r="M17" s="35"/>
      <c r="P17" s="28"/>
      <c r="Q17" s="28"/>
      <c r="R17" s="28"/>
      <c r="S17" s="28"/>
    </row>
    <row r="18">
      <c r="B18" s="28"/>
      <c r="C18" s="28"/>
      <c r="D18" s="65" t="s">
        <v>104</v>
      </c>
      <c r="E18" s="65">
        <v>1.0</v>
      </c>
      <c r="F18" s="28"/>
      <c r="G18" s="28"/>
      <c r="H18" s="28"/>
      <c r="I18" s="28">
        <f t="shared" si="1"/>
        <v>1</v>
      </c>
      <c r="J18" s="13"/>
      <c r="K18" s="28"/>
      <c r="L18" s="28"/>
      <c r="M18" s="13"/>
      <c r="P18" s="28"/>
      <c r="Q18" s="28"/>
      <c r="R18" s="28"/>
      <c r="S18" s="28"/>
    </row>
    <row r="19">
      <c r="B19" s="6" t="s">
        <v>30</v>
      </c>
      <c r="C19" s="81" t="s">
        <v>146</v>
      </c>
      <c r="D19" s="65" t="s">
        <v>60</v>
      </c>
      <c r="E19" s="65">
        <v>17.0</v>
      </c>
      <c r="F19" s="28"/>
      <c r="G19" s="28"/>
      <c r="H19" s="28"/>
      <c r="I19" s="28">
        <f t="shared" si="1"/>
        <v>17</v>
      </c>
      <c r="J19" s="29">
        <f>SUM(I19:I35)</f>
        <v>93</v>
      </c>
      <c r="K19" s="65" t="s">
        <v>142</v>
      </c>
      <c r="L19" s="65">
        <v>5.0</v>
      </c>
      <c r="M19" s="29">
        <f>SUM(L19:L35)</f>
        <v>5</v>
      </c>
    </row>
    <row r="20">
      <c r="B20" s="28"/>
      <c r="C20" s="28"/>
      <c r="D20" s="65" t="s">
        <v>65</v>
      </c>
      <c r="E20" s="65">
        <v>13.0</v>
      </c>
      <c r="F20" s="28"/>
      <c r="G20" s="28"/>
      <c r="H20" s="28"/>
      <c r="I20" s="28">
        <f t="shared" si="1"/>
        <v>13</v>
      </c>
      <c r="J20" s="35"/>
      <c r="K20" s="28"/>
      <c r="L20" s="28"/>
      <c r="M20" s="35"/>
    </row>
    <row r="21">
      <c r="B21" s="28"/>
      <c r="C21" s="28"/>
      <c r="D21" s="65" t="s">
        <v>68</v>
      </c>
      <c r="E21" s="65">
        <v>9.0</v>
      </c>
      <c r="F21" s="28"/>
      <c r="G21" s="28"/>
      <c r="H21" s="28"/>
      <c r="I21" s="28">
        <f t="shared" si="1"/>
        <v>9</v>
      </c>
      <c r="J21" s="35"/>
      <c r="K21" s="28"/>
      <c r="L21" s="28"/>
      <c r="M21" s="35"/>
    </row>
    <row r="22">
      <c r="B22" s="28"/>
      <c r="C22" s="28"/>
      <c r="D22" s="65" t="s">
        <v>56</v>
      </c>
      <c r="E22" s="65">
        <v>8.0</v>
      </c>
      <c r="F22" s="28"/>
      <c r="G22" s="28"/>
      <c r="H22" s="28"/>
      <c r="I22" s="28">
        <f t="shared" si="1"/>
        <v>8</v>
      </c>
      <c r="J22" s="35"/>
      <c r="K22" s="28"/>
      <c r="L22" s="28"/>
      <c r="M22" s="35"/>
    </row>
    <row r="23">
      <c r="B23" s="28"/>
      <c r="C23" s="28"/>
      <c r="D23" s="1" t="s">
        <v>17</v>
      </c>
      <c r="E23" s="65">
        <v>7.0</v>
      </c>
      <c r="F23" s="28"/>
      <c r="G23" s="28"/>
      <c r="H23" s="28"/>
      <c r="I23" s="28">
        <f t="shared" si="1"/>
        <v>7</v>
      </c>
      <c r="J23" s="35"/>
      <c r="K23" s="28"/>
      <c r="L23" s="28"/>
      <c r="M23" s="35"/>
    </row>
    <row r="24">
      <c r="B24" s="28"/>
      <c r="C24" s="28"/>
      <c r="D24" s="65" t="s">
        <v>62</v>
      </c>
      <c r="E24" s="65">
        <v>7.0</v>
      </c>
      <c r="F24" s="28"/>
      <c r="G24" s="28"/>
      <c r="H24" s="28"/>
      <c r="I24" s="28">
        <f t="shared" si="1"/>
        <v>7</v>
      </c>
      <c r="J24" s="35"/>
      <c r="K24" s="28"/>
      <c r="L24" s="28"/>
      <c r="M24" s="35"/>
    </row>
    <row r="25">
      <c r="B25" s="28"/>
      <c r="C25" s="28"/>
      <c r="D25" s="65" t="s">
        <v>76</v>
      </c>
      <c r="E25" s="65">
        <v>6.0</v>
      </c>
      <c r="F25" s="28"/>
      <c r="G25" s="28"/>
      <c r="H25" s="28"/>
      <c r="I25" s="28">
        <f t="shared" si="1"/>
        <v>6</v>
      </c>
      <c r="J25" s="35"/>
      <c r="K25" s="28"/>
      <c r="L25" s="28"/>
      <c r="M25" s="35"/>
    </row>
    <row r="26">
      <c r="B26" s="28"/>
      <c r="C26" s="28"/>
      <c r="D26" s="65" t="s">
        <v>72</v>
      </c>
      <c r="E26" s="65">
        <v>5.0</v>
      </c>
      <c r="F26" s="28"/>
      <c r="G26" s="28"/>
      <c r="H26" s="28"/>
      <c r="I26" s="28">
        <f t="shared" si="1"/>
        <v>5</v>
      </c>
      <c r="J26" s="35"/>
      <c r="K26" s="28"/>
      <c r="L26" s="28"/>
      <c r="M26" s="35"/>
    </row>
    <row r="27">
      <c r="B27" s="28"/>
      <c r="C27" s="28"/>
      <c r="D27" s="65" t="s">
        <v>28</v>
      </c>
      <c r="E27" s="65">
        <v>4.0</v>
      </c>
      <c r="F27" s="28"/>
      <c r="G27" s="28"/>
      <c r="H27" s="28"/>
      <c r="I27" s="28">
        <f t="shared" si="1"/>
        <v>4</v>
      </c>
      <c r="J27" s="35"/>
      <c r="K27" s="28"/>
      <c r="L27" s="28"/>
      <c r="M27" s="35"/>
    </row>
    <row r="28">
      <c r="B28" s="28"/>
      <c r="C28" s="28"/>
      <c r="D28" s="65" t="s">
        <v>53</v>
      </c>
      <c r="E28" s="65">
        <v>4.0</v>
      </c>
      <c r="F28" s="28"/>
      <c r="G28" s="28"/>
      <c r="H28" s="28"/>
      <c r="I28" s="28">
        <f t="shared" si="1"/>
        <v>4</v>
      </c>
      <c r="J28" s="35"/>
      <c r="K28" s="28"/>
      <c r="L28" s="28"/>
      <c r="M28" s="35"/>
    </row>
    <row r="29">
      <c r="B29" s="28"/>
      <c r="C29" s="28"/>
      <c r="D29" s="65" t="s">
        <v>59</v>
      </c>
      <c r="E29" s="65">
        <v>3.0</v>
      </c>
      <c r="F29" s="28"/>
      <c r="G29" s="28"/>
      <c r="H29" s="28"/>
      <c r="I29" s="28">
        <f t="shared" si="1"/>
        <v>3</v>
      </c>
      <c r="J29" s="35"/>
      <c r="K29" s="28"/>
      <c r="L29" s="28"/>
      <c r="M29" s="35"/>
    </row>
    <row r="30">
      <c r="B30" s="28"/>
      <c r="C30" s="28"/>
      <c r="D30" s="65" t="s">
        <v>101</v>
      </c>
      <c r="E30" s="65">
        <v>3.0</v>
      </c>
      <c r="F30" s="28"/>
      <c r="G30" s="28"/>
      <c r="H30" s="28"/>
      <c r="I30" s="28">
        <f t="shared" si="1"/>
        <v>3</v>
      </c>
      <c r="J30" s="35"/>
      <c r="K30" s="28"/>
      <c r="L30" s="28"/>
      <c r="M30" s="35"/>
    </row>
    <row r="31">
      <c r="B31" s="28"/>
      <c r="C31" s="28"/>
      <c r="D31" s="65" t="s">
        <v>106</v>
      </c>
      <c r="E31" s="65">
        <v>2.0</v>
      </c>
      <c r="F31" s="28"/>
      <c r="G31" s="28"/>
      <c r="H31" s="28"/>
      <c r="I31" s="28">
        <f t="shared" si="1"/>
        <v>2</v>
      </c>
      <c r="J31" s="35"/>
      <c r="K31" s="28"/>
      <c r="L31" s="28"/>
      <c r="M31" s="35"/>
    </row>
    <row r="32">
      <c r="B32" s="28"/>
      <c r="C32" s="28"/>
      <c r="D32" s="65" t="s">
        <v>69</v>
      </c>
      <c r="E32" s="65">
        <v>2.0</v>
      </c>
      <c r="F32" s="28"/>
      <c r="G32" s="28"/>
      <c r="H32" s="28"/>
      <c r="I32" s="28">
        <f t="shared" si="1"/>
        <v>2</v>
      </c>
      <c r="J32" s="35"/>
      <c r="K32" s="28"/>
      <c r="L32" s="28"/>
      <c r="M32" s="35"/>
    </row>
    <row r="33">
      <c r="B33" s="28"/>
      <c r="C33" s="28"/>
      <c r="D33" s="65" t="s">
        <v>71</v>
      </c>
      <c r="E33" s="65">
        <v>1.0</v>
      </c>
      <c r="F33" s="28"/>
      <c r="G33" s="28"/>
      <c r="H33" s="28"/>
      <c r="I33" s="28">
        <f t="shared" si="1"/>
        <v>1</v>
      </c>
      <c r="J33" s="35"/>
      <c r="K33" s="28"/>
      <c r="L33" s="28"/>
      <c r="M33" s="35"/>
    </row>
    <row r="34">
      <c r="B34" s="28"/>
      <c r="C34" s="28"/>
      <c r="D34" s="65" t="s">
        <v>102</v>
      </c>
      <c r="E34" s="65">
        <v>1.0</v>
      </c>
      <c r="F34" s="28"/>
      <c r="G34" s="28"/>
      <c r="H34" s="28"/>
      <c r="I34" s="28">
        <f t="shared" si="1"/>
        <v>1</v>
      </c>
      <c r="J34" s="35"/>
      <c r="K34" s="28"/>
      <c r="L34" s="28"/>
      <c r="M34" s="35"/>
    </row>
    <row r="35">
      <c r="B35" s="28"/>
      <c r="C35" s="28"/>
      <c r="D35" s="65" t="s">
        <v>113</v>
      </c>
      <c r="E35" s="65">
        <v>1.0</v>
      </c>
      <c r="F35" s="28"/>
      <c r="G35" s="28"/>
      <c r="H35" s="28"/>
      <c r="I35" s="28">
        <f t="shared" si="1"/>
        <v>1</v>
      </c>
      <c r="J35" s="13"/>
      <c r="K35" s="28"/>
      <c r="L35" s="28"/>
      <c r="M35" s="13"/>
    </row>
    <row r="36">
      <c r="B36" s="6" t="s">
        <v>36</v>
      </c>
      <c r="C36" s="81" t="s">
        <v>147</v>
      </c>
      <c r="D36" s="65" t="s">
        <v>60</v>
      </c>
      <c r="E36" s="65">
        <v>8.0</v>
      </c>
      <c r="F36" s="28"/>
      <c r="G36" s="28"/>
      <c r="H36" s="28"/>
      <c r="I36" s="28">
        <f t="shared" si="1"/>
        <v>8</v>
      </c>
      <c r="J36" s="29">
        <f>SUM(I36:I53)</f>
        <v>72</v>
      </c>
      <c r="K36" s="65" t="s">
        <v>142</v>
      </c>
      <c r="L36" s="65">
        <v>4.0</v>
      </c>
      <c r="M36" s="29">
        <f>SUM(L36:L53)</f>
        <v>5</v>
      </c>
    </row>
    <row r="37">
      <c r="B37" s="28"/>
      <c r="C37" s="28"/>
      <c r="D37" s="65" t="s">
        <v>17</v>
      </c>
      <c r="E37" s="65">
        <v>8.0</v>
      </c>
      <c r="F37" s="28"/>
      <c r="G37" s="28"/>
      <c r="H37" s="28"/>
      <c r="I37" s="28">
        <f t="shared" si="1"/>
        <v>8</v>
      </c>
      <c r="J37" s="35"/>
      <c r="K37" s="65" t="s">
        <v>153</v>
      </c>
      <c r="L37" s="65">
        <v>1.0</v>
      </c>
      <c r="M37" s="35"/>
    </row>
    <row r="38">
      <c r="B38" s="28"/>
      <c r="C38" s="28"/>
      <c r="D38" s="65" t="s">
        <v>62</v>
      </c>
      <c r="E38" s="65">
        <v>8.0</v>
      </c>
      <c r="F38" s="28"/>
      <c r="G38" s="28"/>
      <c r="H38" s="28"/>
      <c r="I38" s="28">
        <f t="shared" si="1"/>
        <v>8</v>
      </c>
      <c r="J38" s="35"/>
      <c r="K38" s="28"/>
      <c r="L38" s="28"/>
      <c r="M38" s="35"/>
    </row>
    <row r="39">
      <c r="B39" s="28"/>
      <c r="C39" s="28"/>
      <c r="D39" s="65" t="s">
        <v>28</v>
      </c>
      <c r="E39" s="65">
        <v>7.0</v>
      </c>
      <c r="F39" s="28"/>
      <c r="G39" s="28"/>
      <c r="H39" s="28"/>
      <c r="I39" s="28">
        <f t="shared" si="1"/>
        <v>7</v>
      </c>
      <c r="J39" s="35"/>
      <c r="K39" s="28"/>
      <c r="L39" s="28"/>
      <c r="M39" s="35"/>
    </row>
    <row r="40">
      <c r="B40" s="28"/>
      <c r="C40" s="28"/>
      <c r="D40" s="65" t="s">
        <v>56</v>
      </c>
      <c r="E40" s="65">
        <v>6.0</v>
      </c>
      <c r="F40" s="28"/>
      <c r="G40" s="28"/>
      <c r="H40" s="28"/>
      <c r="I40" s="28">
        <f t="shared" si="1"/>
        <v>6</v>
      </c>
      <c r="J40" s="35"/>
      <c r="K40" s="28"/>
      <c r="L40" s="28"/>
      <c r="M40" s="35"/>
    </row>
    <row r="41">
      <c r="B41" s="28"/>
      <c r="C41" s="28"/>
      <c r="D41" s="65" t="s">
        <v>65</v>
      </c>
      <c r="E41" s="65">
        <v>6.0</v>
      </c>
      <c r="F41" s="28"/>
      <c r="G41" s="28"/>
      <c r="H41" s="28"/>
      <c r="I41" s="28">
        <f t="shared" si="1"/>
        <v>6</v>
      </c>
      <c r="J41" s="35"/>
      <c r="K41" s="28"/>
      <c r="L41" s="28"/>
      <c r="M41" s="35"/>
    </row>
    <row r="42">
      <c r="B42" s="28"/>
      <c r="C42" s="28"/>
      <c r="D42" s="65" t="s">
        <v>106</v>
      </c>
      <c r="E42" s="65">
        <v>5.0</v>
      </c>
      <c r="F42" s="28"/>
      <c r="G42" s="28"/>
      <c r="H42" s="28"/>
      <c r="I42" s="28">
        <f t="shared" si="1"/>
        <v>5</v>
      </c>
      <c r="J42" s="35"/>
      <c r="K42" s="28"/>
      <c r="L42" s="28"/>
      <c r="M42" s="35"/>
    </row>
    <row r="43">
      <c r="B43" s="28"/>
      <c r="C43" s="28"/>
      <c r="D43" s="65" t="s">
        <v>72</v>
      </c>
      <c r="E43" s="65">
        <v>3.0</v>
      </c>
      <c r="F43" s="28"/>
      <c r="G43" s="28"/>
      <c r="H43" s="28"/>
      <c r="I43" s="28">
        <f t="shared" si="1"/>
        <v>3</v>
      </c>
      <c r="J43" s="35"/>
      <c r="K43" s="28"/>
      <c r="L43" s="28"/>
      <c r="M43" s="35"/>
    </row>
    <row r="44">
      <c r="B44" s="28"/>
      <c r="C44" s="28"/>
      <c r="D44" s="65" t="s">
        <v>76</v>
      </c>
      <c r="E44" s="65">
        <v>3.0</v>
      </c>
      <c r="F44" s="28"/>
      <c r="G44" s="28"/>
      <c r="H44" s="28"/>
      <c r="I44" s="28">
        <f t="shared" si="1"/>
        <v>3</v>
      </c>
      <c r="J44" s="35"/>
      <c r="K44" s="28"/>
      <c r="L44" s="28"/>
      <c r="M44" s="35"/>
    </row>
    <row r="45">
      <c r="B45" s="28"/>
      <c r="C45" s="28"/>
      <c r="D45" s="65" t="s">
        <v>59</v>
      </c>
      <c r="E45" s="65">
        <v>3.0</v>
      </c>
      <c r="F45" s="28"/>
      <c r="G45" s="28"/>
      <c r="H45" s="28"/>
      <c r="I45" s="28">
        <f t="shared" si="1"/>
        <v>3</v>
      </c>
      <c r="J45" s="35"/>
      <c r="K45" s="28"/>
      <c r="L45" s="28"/>
      <c r="M45" s="35"/>
    </row>
    <row r="46">
      <c r="B46" s="28"/>
      <c r="C46" s="28"/>
      <c r="D46" s="65" t="s">
        <v>101</v>
      </c>
      <c r="E46" s="65">
        <v>3.0</v>
      </c>
      <c r="F46" s="28"/>
      <c r="G46" s="28"/>
      <c r="H46" s="28"/>
      <c r="I46" s="28">
        <f t="shared" si="1"/>
        <v>3</v>
      </c>
      <c r="J46" s="35"/>
      <c r="K46" s="28"/>
      <c r="L46" s="28"/>
      <c r="M46" s="35"/>
    </row>
    <row r="47">
      <c r="B47" s="28"/>
      <c r="C47" s="28"/>
      <c r="D47" s="65" t="s">
        <v>89</v>
      </c>
      <c r="E47" s="65">
        <v>2.0</v>
      </c>
      <c r="F47" s="28"/>
      <c r="G47" s="28"/>
      <c r="H47" s="28"/>
      <c r="I47" s="28">
        <f t="shared" si="1"/>
        <v>2</v>
      </c>
      <c r="J47" s="35"/>
      <c r="K47" s="28"/>
      <c r="L47" s="28"/>
      <c r="M47" s="35"/>
    </row>
    <row r="48">
      <c r="B48" s="28"/>
      <c r="C48" s="28"/>
      <c r="D48" s="65" t="s">
        <v>68</v>
      </c>
      <c r="E48" s="65">
        <v>2.0</v>
      </c>
      <c r="F48" s="28"/>
      <c r="G48" s="28"/>
      <c r="H48" s="28"/>
      <c r="I48" s="28">
        <f t="shared" si="1"/>
        <v>2</v>
      </c>
      <c r="J48" s="35"/>
      <c r="K48" s="28"/>
      <c r="L48" s="28"/>
      <c r="M48" s="35"/>
    </row>
    <row r="49">
      <c r="B49" s="28"/>
      <c r="C49" s="28"/>
      <c r="D49" s="65" t="s">
        <v>69</v>
      </c>
      <c r="E49" s="65">
        <v>2.0</v>
      </c>
      <c r="F49" s="28"/>
      <c r="G49" s="28"/>
      <c r="H49" s="28"/>
      <c r="I49" s="28">
        <f t="shared" si="1"/>
        <v>2</v>
      </c>
      <c r="J49" s="35"/>
      <c r="K49" s="28"/>
      <c r="L49" s="28"/>
      <c r="M49" s="35"/>
    </row>
    <row r="50">
      <c r="B50" s="28"/>
      <c r="C50" s="28"/>
      <c r="D50" s="65" t="s">
        <v>79</v>
      </c>
      <c r="E50" s="65">
        <v>2.0</v>
      </c>
      <c r="F50" s="28"/>
      <c r="G50" s="28"/>
      <c r="H50" s="28"/>
      <c r="I50" s="28">
        <f t="shared" si="1"/>
        <v>2</v>
      </c>
      <c r="J50" s="35"/>
      <c r="K50" s="28"/>
      <c r="L50" s="28"/>
      <c r="M50" s="35"/>
    </row>
    <row r="51">
      <c r="B51" s="28"/>
      <c r="C51" s="28"/>
      <c r="D51" s="65" t="s">
        <v>104</v>
      </c>
      <c r="E51" s="65">
        <v>2.0</v>
      </c>
      <c r="F51" s="28"/>
      <c r="G51" s="28"/>
      <c r="H51" s="28"/>
      <c r="I51" s="28">
        <f t="shared" si="1"/>
        <v>2</v>
      </c>
      <c r="J51" s="35"/>
      <c r="K51" s="28"/>
      <c r="L51" s="28"/>
      <c r="M51" s="35"/>
    </row>
    <row r="52">
      <c r="B52" s="28"/>
      <c r="C52" s="28"/>
      <c r="D52" s="65" t="s">
        <v>102</v>
      </c>
      <c r="E52" s="65">
        <v>1.0</v>
      </c>
      <c r="F52" s="28"/>
      <c r="G52" s="28"/>
      <c r="H52" s="28"/>
      <c r="I52" s="28">
        <f t="shared" si="1"/>
        <v>1</v>
      </c>
      <c r="J52" s="35"/>
      <c r="K52" s="28"/>
      <c r="L52" s="28"/>
      <c r="M52" s="35"/>
    </row>
    <row r="53">
      <c r="B53" s="28"/>
      <c r="C53" s="28"/>
      <c r="D53" s="65" t="s">
        <v>71</v>
      </c>
      <c r="E53" s="65">
        <v>1.0</v>
      </c>
      <c r="F53" s="28"/>
      <c r="G53" s="28"/>
      <c r="H53" s="28"/>
      <c r="I53" s="28">
        <f t="shared" si="1"/>
        <v>1</v>
      </c>
      <c r="J53" s="13"/>
      <c r="K53" s="28"/>
      <c r="L53" s="28"/>
      <c r="M53" s="13"/>
    </row>
    <row r="54">
      <c r="B54" s="6" t="s">
        <v>39</v>
      </c>
      <c r="C54" s="81" t="s">
        <v>148</v>
      </c>
      <c r="D54" s="65" t="s">
        <v>60</v>
      </c>
      <c r="E54" s="65">
        <v>24.0</v>
      </c>
      <c r="F54" s="28"/>
      <c r="G54" s="28"/>
      <c r="H54" s="28"/>
      <c r="I54" s="28">
        <f t="shared" si="1"/>
        <v>24</v>
      </c>
      <c r="J54" s="29">
        <f>SUM(I54:I72)</f>
        <v>171</v>
      </c>
      <c r="K54" s="65" t="s">
        <v>142</v>
      </c>
      <c r="L54" s="65">
        <v>14.0</v>
      </c>
      <c r="M54" s="29">
        <f>SUM(L54:L72)</f>
        <v>14</v>
      </c>
    </row>
    <row r="55">
      <c r="B55" s="28"/>
      <c r="C55" s="28"/>
      <c r="D55" s="65" t="s">
        <v>65</v>
      </c>
      <c r="E55" s="65">
        <v>22.0</v>
      </c>
      <c r="F55" s="28"/>
      <c r="G55" s="28"/>
      <c r="H55" s="28"/>
      <c r="I55" s="28">
        <f t="shared" si="1"/>
        <v>22</v>
      </c>
      <c r="J55" s="35"/>
      <c r="K55" s="28"/>
      <c r="L55" s="28"/>
      <c r="M55" s="35"/>
    </row>
    <row r="56">
      <c r="B56" s="28"/>
      <c r="C56" s="28"/>
      <c r="D56" s="65" t="s">
        <v>56</v>
      </c>
      <c r="E56" s="65">
        <v>17.0</v>
      </c>
      <c r="F56" s="28"/>
      <c r="G56" s="28"/>
      <c r="H56" s="28"/>
      <c r="I56" s="28">
        <f t="shared" si="1"/>
        <v>17</v>
      </c>
      <c r="J56" s="35"/>
      <c r="K56" s="28"/>
      <c r="L56" s="28"/>
      <c r="M56" s="35"/>
    </row>
    <row r="57">
      <c r="B57" s="28"/>
      <c r="C57" s="28"/>
      <c r="D57" s="65" t="s">
        <v>17</v>
      </c>
      <c r="E57" s="65">
        <v>14.0</v>
      </c>
      <c r="F57" s="28"/>
      <c r="G57" s="28"/>
      <c r="H57" s="28"/>
      <c r="I57" s="28">
        <f t="shared" si="1"/>
        <v>14</v>
      </c>
      <c r="J57" s="35"/>
      <c r="K57" s="28"/>
      <c r="L57" s="28"/>
      <c r="M57" s="35"/>
    </row>
    <row r="58">
      <c r="B58" s="28"/>
      <c r="C58" s="28"/>
      <c r="D58" s="65" t="s">
        <v>62</v>
      </c>
      <c r="E58" s="65">
        <v>14.0</v>
      </c>
      <c r="F58" s="28"/>
      <c r="G58" s="28"/>
      <c r="H58" s="28"/>
      <c r="I58" s="28">
        <f t="shared" si="1"/>
        <v>14</v>
      </c>
      <c r="J58" s="35"/>
      <c r="K58" s="28"/>
      <c r="L58" s="28"/>
      <c r="M58" s="35"/>
    </row>
    <row r="59">
      <c r="B59" s="28"/>
      <c r="C59" s="28"/>
      <c r="D59" s="65" t="s">
        <v>28</v>
      </c>
      <c r="E59" s="65">
        <v>13.0</v>
      </c>
      <c r="F59" s="28"/>
      <c r="G59" s="28"/>
      <c r="H59" s="28"/>
      <c r="I59" s="28">
        <f t="shared" si="1"/>
        <v>13</v>
      </c>
      <c r="J59" s="35"/>
      <c r="K59" s="28"/>
      <c r="L59" s="28"/>
      <c r="M59" s="35"/>
    </row>
    <row r="60">
      <c r="B60" s="28"/>
      <c r="C60" s="28"/>
      <c r="D60" s="65" t="s">
        <v>76</v>
      </c>
      <c r="E60" s="65">
        <v>13.0</v>
      </c>
      <c r="F60" s="28"/>
      <c r="G60" s="28"/>
      <c r="H60" s="28"/>
      <c r="I60" s="28">
        <f t="shared" si="1"/>
        <v>13</v>
      </c>
      <c r="J60" s="35"/>
      <c r="K60" s="28"/>
      <c r="L60" s="28"/>
      <c r="M60" s="35"/>
    </row>
    <row r="61">
      <c r="B61" s="28"/>
      <c r="C61" s="28"/>
      <c r="D61" s="65" t="s">
        <v>69</v>
      </c>
      <c r="E61" s="65">
        <v>9.0</v>
      </c>
      <c r="F61" s="28"/>
      <c r="G61" s="28"/>
      <c r="H61" s="28"/>
      <c r="I61" s="28">
        <f t="shared" si="1"/>
        <v>9</v>
      </c>
      <c r="J61" s="35"/>
      <c r="K61" s="28"/>
      <c r="L61" s="28"/>
      <c r="M61" s="35"/>
    </row>
    <row r="62">
      <c r="B62" s="28"/>
      <c r="C62" s="28"/>
      <c r="D62" s="65" t="s">
        <v>72</v>
      </c>
      <c r="E62" s="65">
        <v>8.0</v>
      </c>
      <c r="F62" s="28"/>
      <c r="G62" s="28"/>
      <c r="H62" s="28"/>
      <c r="I62" s="28">
        <f t="shared" si="1"/>
        <v>8</v>
      </c>
      <c r="J62" s="35"/>
      <c r="K62" s="28"/>
      <c r="L62" s="28"/>
      <c r="M62" s="35"/>
    </row>
    <row r="63">
      <c r="B63" s="28"/>
      <c r="C63" s="28"/>
      <c r="D63" s="65" t="s">
        <v>106</v>
      </c>
      <c r="E63" s="65">
        <v>6.0</v>
      </c>
      <c r="F63" s="28"/>
      <c r="G63" s="28"/>
      <c r="H63" s="28"/>
      <c r="I63" s="28">
        <f t="shared" si="1"/>
        <v>6</v>
      </c>
      <c r="J63" s="35"/>
      <c r="K63" s="28"/>
      <c r="L63" s="28"/>
      <c r="M63" s="35"/>
    </row>
    <row r="64">
      <c r="B64" s="28"/>
      <c r="C64" s="28"/>
      <c r="D64" s="65" t="s">
        <v>102</v>
      </c>
      <c r="E64" s="65">
        <v>5.0</v>
      </c>
      <c r="F64" s="28"/>
      <c r="G64" s="28"/>
      <c r="H64" s="28"/>
      <c r="I64" s="28">
        <f t="shared" si="1"/>
        <v>5</v>
      </c>
      <c r="J64" s="35"/>
      <c r="K64" s="28"/>
      <c r="L64" s="28"/>
      <c r="M64" s="35"/>
    </row>
    <row r="65">
      <c r="B65" s="28"/>
      <c r="C65" s="28"/>
      <c r="D65" s="65" t="s">
        <v>101</v>
      </c>
      <c r="E65" s="65">
        <v>5.0</v>
      </c>
      <c r="F65" s="28"/>
      <c r="G65" s="28"/>
      <c r="H65" s="28"/>
      <c r="I65" s="28">
        <f t="shared" si="1"/>
        <v>5</v>
      </c>
      <c r="J65" s="35"/>
      <c r="K65" s="28"/>
      <c r="L65" s="28"/>
      <c r="M65" s="35"/>
    </row>
    <row r="66">
      <c r="B66" s="28"/>
      <c r="C66" s="28"/>
      <c r="D66" s="65" t="s">
        <v>59</v>
      </c>
      <c r="E66" s="65">
        <v>4.0</v>
      </c>
      <c r="F66" s="28"/>
      <c r="G66" s="28"/>
      <c r="H66" s="28"/>
      <c r="I66" s="28">
        <f t="shared" si="1"/>
        <v>4</v>
      </c>
      <c r="J66" s="35"/>
      <c r="K66" s="28"/>
      <c r="L66" s="28"/>
      <c r="M66" s="35"/>
    </row>
    <row r="67">
      <c r="B67" s="28"/>
      <c r="C67" s="28"/>
      <c r="D67" s="65" t="s">
        <v>68</v>
      </c>
      <c r="E67" s="65">
        <v>4.0</v>
      </c>
      <c r="F67" s="28"/>
      <c r="G67" s="28"/>
      <c r="H67" s="28"/>
      <c r="I67" s="28">
        <f t="shared" si="1"/>
        <v>4</v>
      </c>
      <c r="J67" s="35"/>
      <c r="K67" s="28"/>
      <c r="L67" s="28"/>
      <c r="M67" s="35"/>
    </row>
    <row r="68">
      <c r="B68" s="28"/>
      <c r="C68" s="28"/>
      <c r="D68" s="65" t="s">
        <v>71</v>
      </c>
      <c r="E68" s="65">
        <v>4.0</v>
      </c>
      <c r="F68" s="28"/>
      <c r="G68" s="28"/>
      <c r="H68" s="28"/>
      <c r="I68" s="28">
        <f t="shared" si="1"/>
        <v>4</v>
      </c>
      <c r="J68" s="35"/>
      <c r="K68" s="28"/>
      <c r="L68" s="28"/>
      <c r="M68" s="35"/>
    </row>
    <row r="69">
      <c r="B69" s="28"/>
      <c r="C69" s="28"/>
      <c r="D69" s="65" t="s">
        <v>89</v>
      </c>
      <c r="E69" s="65">
        <v>3.0</v>
      </c>
      <c r="F69" s="28"/>
      <c r="G69" s="28"/>
      <c r="H69" s="28"/>
      <c r="I69" s="28">
        <f t="shared" si="1"/>
        <v>3</v>
      </c>
      <c r="J69" s="35"/>
      <c r="K69" s="28"/>
      <c r="L69" s="28"/>
      <c r="M69" s="35"/>
    </row>
    <row r="70">
      <c r="B70" s="28"/>
      <c r="C70" s="28"/>
      <c r="D70" s="65" t="s">
        <v>104</v>
      </c>
      <c r="E70" s="65">
        <v>3.0</v>
      </c>
      <c r="F70" s="28"/>
      <c r="G70" s="28"/>
      <c r="H70" s="28"/>
      <c r="I70" s="28">
        <f t="shared" si="1"/>
        <v>3</v>
      </c>
      <c r="J70" s="35"/>
      <c r="K70" s="28"/>
      <c r="L70" s="28"/>
      <c r="M70" s="35"/>
    </row>
    <row r="71">
      <c r="B71" s="28"/>
      <c r="C71" s="28"/>
      <c r="D71" s="65" t="s">
        <v>157</v>
      </c>
      <c r="E71" s="65">
        <v>2.0</v>
      </c>
      <c r="F71" s="28"/>
      <c r="G71" s="28"/>
      <c r="H71" s="28"/>
      <c r="I71" s="28">
        <f t="shared" si="1"/>
        <v>2</v>
      </c>
      <c r="J71" s="35"/>
      <c r="K71" s="28"/>
      <c r="L71" s="28"/>
      <c r="M71" s="35"/>
    </row>
    <row r="72">
      <c r="B72" s="28"/>
      <c r="C72" s="28"/>
      <c r="D72" s="65" t="s">
        <v>53</v>
      </c>
      <c r="E72" s="65">
        <v>1.0</v>
      </c>
      <c r="F72" s="28"/>
      <c r="G72" s="28"/>
      <c r="H72" s="28"/>
      <c r="I72" s="28">
        <f t="shared" si="1"/>
        <v>1</v>
      </c>
      <c r="J72" s="13"/>
      <c r="K72" s="28"/>
      <c r="L72" s="28"/>
      <c r="M72" s="13"/>
    </row>
    <row r="73">
      <c r="B73" s="6" t="s">
        <v>115</v>
      </c>
      <c r="C73" s="86"/>
      <c r="D73" s="28"/>
      <c r="E73" s="28"/>
      <c r="F73" s="28"/>
      <c r="G73" s="28"/>
      <c r="H73" s="28"/>
      <c r="I73" s="28"/>
      <c r="J73" s="28"/>
      <c r="K73" s="28"/>
      <c r="L73" s="28"/>
      <c r="M73" s="28"/>
    </row>
    <row r="74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</row>
    <row r="7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</row>
    <row r="78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</row>
    <row r="79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</row>
    <row r="80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</row>
    <row r="81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</row>
    <row r="82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</row>
    <row r="87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</row>
    <row r="88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</row>
    <row r="89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</row>
    <row r="90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</row>
    <row r="91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</row>
    <row r="93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</row>
    <row r="96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</row>
    <row r="97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</row>
    <row r="98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</row>
    <row r="101">
      <c r="K101" s="28"/>
      <c r="L101" s="28"/>
      <c r="M101" s="28"/>
    </row>
    <row r="102">
      <c r="K102" s="28"/>
      <c r="L102" s="28"/>
      <c r="M102" s="28"/>
    </row>
    <row r="103">
      <c r="K103" s="28"/>
      <c r="L103" s="28"/>
      <c r="M103" s="28"/>
    </row>
    <row r="104">
      <c r="K104" s="28"/>
      <c r="L104" s="28"/>
      <c r="M104" s="28"/>
    </row>
    <row r="105">
      <c r="K105" s="28"/>
      <c r="L105" s="28"/>
      <c r="M105" s="28"/>
    </row>
    <row r="106">
      <c r="K106" s="28"/>
      <c r="L106" s="28"/>
      <c r="M106" s="28"/>
    </row>
    <row r="107">
      <c r="K107" s="28"/>
      <c r="L107" s="28"/>
      <c r="M107" s="28"/>
    </row>
    <row r="108">
      <c r="K108" s="28"/>
      <c r="L108" s="28"/>
      <c r="M108" s="28"/>
    </row>
    <row r="109">
      <c r="K109" s="28"/>
      <c r="L109" s="28"/>
      <c r="M109" s="28"/>
    </row>
    <row r="110">
      <c r="K110" s="28"/>
      <c r="L110" s="28"/>
      <c r="M110" s="28"/>
    </row>
    <row r="111">
      <c r="K111" s="28"/>
      <c r="L111" s="28"/>
      <c r="M111" s="28"/>
    </row>
    <row r="112">
      <c r="K112" s="28"/>
      <c r="L112" s="28"/>
      <c r="M112" s="28"/>
    </row>
    <row r="113">
      <c r="K113" s="28"/>
      <c r="L113" s="28"/>
      <c r="M113" s="28"/>
    </row>
    <row r="114">
      <c r="K114" s="28"/>
      <c r="L114" s="28"/>
      <c r="M114" s="28"/>
    </row>
    <row r="115">
      <c r="K115" s="28"/>
      <c r="L115" s="28"/>
      <c r="M115" s="28"/>
    </row>
    <row r="116">
      <c r="M116" s="28"/>
    </row>
    <row r="117">
      <c r="M117" s="28"/>
    </row>
    <row r="118">
      <c r="M118" s="28"/>
    </row>
    <row r="119">
      <c r="M119" s="28"/>
    </row>
    <row r="120">
      <c r="M120" s="28"/>
    </row>
    <row r="121">
      <c r="M121" s="28"/>
    </row>
    <row r="122">
      <c r="M122" s="28"/>
    </row>
    <row r="123">
      <c r="M123" s="28"/>
    </row>
    <row r="124">
      <c r="M124" s="28"/>
    </row>
  </sheetData>
  <mergeCells count="8">
    <mergeCell ref="J4:J18"/>
    <mergeCell ref="M4:M18"/>
    <mergeCell ref="J19:J35"/>
    <mergeCell ref="M19:M35"/>
    <mergeCell ref="J36:J53"/>
    <mergeCell ref="M36:M53"/>
    <mergeCell ref="J54:J72"/>
    <mergeCell ref="M54:M7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2025-02-04T08:30:12Z</dcterms:created>
  <dc:creator>LENOVO</dc:creator>
</cp:coreProperties>
</file>